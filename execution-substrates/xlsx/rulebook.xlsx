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orkflows" sheetId="1" state="visible" r:id="rId1"/>
    <sheet name="WorkflowSteps" sheetId="2" state="visible" r:id="rId2"/>
    <sheet name="Approvals" sheetId="3" state="visible" r:id="rId3"/>
    <sheet name="PrecedesSteps" sheetId="4" state="visible" r:id="rId4"/>
    <sheet name="Roles" sheetId="5" state="visible" r:id="rId5"/>
    <sheet name="Departments" sheetId="6" state="visible" r:id="rId6"/>
    <sheet name="HumanAgents" sheetId="7" state="visible" r:id="rId7"/>
    <sheet name="AIAgents" sheetId="8" state="visible" r:id="rId8"/>
    <sheet name="AutomatedPipelines" sheetId="9" state="visible" r:id="rId9"/>
    <sheet name="StepTransitions" sheetId="10" state="visible" r:id="rId10"/>
    <sheet name="WorkflowArtifacts" sheetId="11" state="visible" r:id="rId11"/>
    <sheet name="ERBVersions" sheetId="12" state="visible" r:id="rId12"/>
    <sheet name="ERBCustomization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Short machine-friendly name for the workflow. Used for programmatic reference and URL slug generation.</t>
      </text>
    </comment>
    <comment ref="D1" authorId="0" shapeId="0">
      <text>
        <t>Human-readable title of the workflow. Maps to dct:title from Dublin Core. Example: 'Production Deployment Workflow', 'Employee Onboarding'.</t>
      </text>
    </comment>
    <comment ref="E1" authorId="0" shapeId="0">
      <text>
        <t>Detailed description of the workflow's purpose and scope. Maps to dct:description from Dublin Core. Should explain what business goal the workflow achieves.</t>
      </text>
    </comment>
    <comment ref="F1" authorId="0" shapeId="0">
      <text>
        <t>External system identifier for cross-referencing. Maps to dct:identifier from Dublin Core. This is the join key back to document management systems, ticket systems, or other operational systems.</t>
      </text>
    </comment>
    <comment ref="G1" authorId="0" shapeId="0">
      <text>
        <t>Last modification timestamp. Maps to dct:modified from Dublin Core. Critical for answering CQ5: 'Which workflows haven't been reviewed or updated in twelve months?'</t>
      </text>
    </comment>
    <comment ref="H1" authorId="0" shapeId="0">
      <text>
        <t>Reference to workflow steps. Represents the ntwf:hasStep relationship linking workflows to their constituent steps.</t>
      </text>
    </comment>
    <comment ref="I1" authorId="0" shapeId="0">
      <text>
        <t>Calculated count of workflow steps in this workflow. Useful for workflow complexity analysis and reporting.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D1" authorId="0" shapeId="0">
      <text>
        <t>Foreign key to the parent workflow. Represents the inverse of ntwf:hasStep, enabling navigation from step to its containing workflow (ntwf:isStepOf).</t>
      </text>
    </comment>
    <comment ref="E1" authorId="0" shapeId="0">
      <text>
        <t>Integer ordinal position of the step within its workflow. Maps to ntwf:sequencePosition, declared as owl:FunctionalProperty (each step has exactly one position). Enables positional queries.</t>
      </text>
    </comment>
    <comment ref="F1" authorId="0" shapeId="0">
      <text>
        <t>Foreign key to the Role responsible for executing this step. Maps to ntwf:assignedRole. Critical for implementing Heuristic 2 (role-agent separation): steps point to roles, not directly to agents.</t>
      </text>
    </comment>
    <comment ref="G1" authorId="0" shapeId="0">
      <text>
        <t>Boolean flag indicating whether a human agent must fill the assigned role. Maps to ntwf:requiresHumanApproval. Enables answering CQ3: 'Which steps require human decisions vs. AI execution?'</t>
      </text>
    </comment>
    <comment ref="H1" authorId="0" shapeId="0">
      <text>
        <t>Foreign key to ApprovalGate if this step is a decision checkpoint. When populated, indicates this step blocks workflow execution until explicit authorization is given.</t>
      </text>
    </comment>
    <comment ref="I1" authorId="0" shapeId="0">
      <text>
        <t>Reference to steps that must complete before this step can execute. Part of the ntwf:precedesStep transitive ordering relationship.</t>
      </text>
    </comment>
  </commentList>
</comments>
</file>

<file path=xl/comments/comment3.xml><?xml version="1.0" encoding="utf-8"?>
<comments xmlns="http://schemas.openxmlformats.org/spreadsheetml/2006/main">
  <authors>
    <author>ERB Rulebook</author>
  </authors>
  <commentList>
    <comment ref="D1" authorId="0" shapeId="0">
      <text>
        <t>Back-reference to workflow steps that use this approval gate. Enables finding all steps requiring this specific gate.</t>
      </text>
    </comment>
    <comment ref="E1" authorId="0" shapeId="0">
      <text>
        <t>Integer number of hours that may elapse on a pending gate before the ntwf:delegatesTo chain activates. Maps to ntwf:escalationThresholdHours. Domain applies only to ApprovalGate individuals.</t>
      </text>
    </comment>
  </commentList>
</comments>
</file>

<file path=xl/comments/comment4.xml><?xml version="1.0" encoding="utf-8"?>
<comments xmlns="http://schemas.openxmlformats.org/spreadsheetml/2006/main">
  <authors>
    <author>ERB Rulebook</author>
  </authors>
  <commentList>
    <comment ref="B1" authorId="0" shapeId="0">
      <text>
        <t>Ordinal sequence number for the relationship. Used for sorting and display.</t>
      </text>
    </comment>
    <comment ref="E1" authorId="0" shapeId="0">
      <text>
        <t>Foreign key to the step that comes BEFORE. The source of the 'precedes' relationship.</t>
      </text>
    </comment>
  </commentList>
</comments>
</file>

<file path=xl/comments/comment5.xml><?xml version="1.0" encoding="utf-8"?>
<comments xmlns="http://schemas.openxmlformats.org/spreadsheetml/2006/main">
  <authors>
    <author>ERB Rulebook</author>
  </authors>
  <commentList>
    <comment ref="D1" authorId="0" shapeId="0">
      <text>
        <t>Human-readable display name. Maps to rdfs:label. Per Heuristic 6: if you cannot write a clear label, you do not yet understand the concept well enough to model it.</t>
      </text>
    </comment>
    <comment ref="E1" authorId="0" shapeId="0">
      <text>
        <t>Detailed description of the role's responsibilities and scope. Maps to rdfs:comment. Should define what the role covers, what it excludes, and how it differs from adjacent roles.</t>
      </text>
    </comment>
    <comment ref="I1" authorId="0" shapeId="0">
      <text>
        <t>Foreign key to the Department that owns this role. Maps to ntwf:ownedBy (owl:FunctionalProperty). Enables answering CQ7: 'Which workflows involve both Engineering and Legal?'</t>
      </text>
    </comment>
    <comment ref="J1" authorId="0" shapeId="0">
      <text>
        <t>Foreign key to the fallback Role in an escalation chain. Maps to ntwf:delegatesTo. Enables answering CQ6: 'What happens when the VP of Engineering is unavailable?'</t>
      </text>
    </comment>
    <comment ref="K1" authorId="0" shapeId="0">
      <text>
        <t>Back-reference to workflow steps assigned to this role. Inverse of WorkflowSteps.AssignedRole.</t>
      </text>
    </comment>
  </commentList>
</comments>
</file>

<file path=xl/comments/comment6.xml><?xml version="1.0" encoding="utf-8"?>
<comments xmlns="http://schemas.openxmlformats.org/spreadsheetml/2006/main">
  <authors>
    <author>ERB Rulebook</author>
  </authors>
  <commentList>
    <comment ref="B1" authorId="0" shapeId="0">
      <text>
        <t>Human-readable display name of the department. Should match organizational terminology for stakeholder communication.</t>
      </text>
    </comment>
    <comment ref="C1" authorId="0" shapeId="0">
      <text>
        <t>Human-readable display name of the department. Should match organizational terminology for stakeholder communication.</t>
      </text>
    </comment>
    <comment ref="D1" authorId="0" shapeId="0">
      <text>
        <t>Machine-friendly name for programmatic reference.</t>
      </text>
    </comment>
    <comment ref="E1" authorId="0" shapeId="0">
      <text>
        <t>Back-reference to roles owned by this department. Inverse of Roles.OwnedBy.</t>
      </text>
    </comment>
  </commentList>
</comments>
</file>

<file path=xl/comments/comment7.xml><?xml version="1.0" encoding="utf-8"?>
<comments xmlns="http://schemas.openxmlformats.org/spreadsheetml/2006/main">
  <authors>
    <author>ERB Rulebook</author>
  </authors>
  <commentList>
    <comment ref="B1" authorId="0" shapeId="0">
      <text>
        <t>Full name of the person. Maps to foaf:name. Note: FOAF's name property is appropriate for persons, not for software systems (which use schema:name).</t>
      </text>
    </comment>
    <comment ref="D1" authorId="0" shapeId="0">
      <text>
        <t>Email address of the person. Maps to foaf:mbox. Used for notifications and organizational directory integration.</t>
      </text>
    </comment>
    <comment ref="E1" authorId="0" shapeId="0">
      <text>
        <t>Back-reference to roles currently filled by this agent. Inverse of Roles.FilledBy_HumanAgent.</t>
      </text>
    </comment>
  </commentList>
</comments>
</file>

<file path=xl/comments/comment8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AI agent. Maps to schema:name (not foaf:name, which is for persons).</t>
      </text>
    </comment>
    <comment ref="E1" authorId="0" shapeId="0">
      <text>
        <t>Version string of the AI model. Maps to ntwf:modelVersion. Makes AI-produced artifacts auditable at the version level. The domain declaration means this property applies only to AIAgent individuals.</t>
      </text>
    </comment>
    <comment ref="F1" authorId="0" shapeId="0">
      <text>
        <t>Back-reference to roles currently filled by this AI agent. Inverse of Roles.FilledBy_AIAgent.</t>
      </text>
    </comment>
  </commentList>
</comments>
</file>

<file path=xl/comments/comment9.xml><?xml version="1.0" encoding="utf-8"?>
<comments xmlns="http://schemas.openxmlformats.org/spreadsheetml/2006/main">
  <authors>
    <author>ERB Rulebook</author>
  </authors>
  <commentList>
    <comment ref="B1" authorId="0" shapeId="0">
      <text>
        <t>Display name of the pipeline. Maps to schema:name (appropriate for software systems, unlike foaf:name which is for persons).</t>
      </text>
    </comment>
    <comment ref="E1" authorId="0" shapeId="0">
      <text>
        <t>Back-reference to roles currently filled by this pipeline. Inverse of Roles.FilledBy_AutomatedPipeline.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3" customWidth="1" min="5" max="5"/>
    <col width="12" customWidth="1" min="6" max="6"/>
    <col width="12" customWidth="1" min="7" max="7"/>
    <col width="15" customWidth="1" min="8" max="8"/>
    <col width="14" customWidth="1" min="9" max="9"/>
    <col width="18" customWidth="1" min="10" max="10"/>
  </cols>
  <sheetData>
    <row r="1">
      <c r="A1" s="1" t="inlineStr">
        <is>
          <t>WorkflowId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Title</t>
        </is>
      </c>
      <c r="E1" s="1" t="inlineStr">
        <is>
          <t>Description</t>
        </is>
      </c>
      <c r="F1" s="1" t="inlineStr">
        <is>
          <t>Identifier</t>
        </is>
      </c>
      <c r="G1" s="1" t="inlineStr">
        <is>
          <t>Modified</t>
        </is>
      </c>
      <c r="H1" s="1" t="inlineStr">
        <is>
          <t>WorkflowSteps</t>
        </is>
      </c>
      <c r="I1" s="1" t="inlineStr">
        <is>
          <t>CountOfSteps</t>
        </is>
      </c>
      <c r="J1" s="1" t="inlineStr">
        <is>
          <t>HasMoreThan1Step</t>
        </is>
      </c>
    </row>
    <row r="2">
      <c r="A2" s="2" t="inlineStr">
        <is>
          <t>production-deployment</t>
        </is>
      </c>
      <c r="B2" s="3">
        <f>SUBSTITUTE(LOWER($C2), " ", "-")</f>
        <v/>
      </c>
      <c r="C2" s="2" t="inlineStr">
        <is>
          <t>Production Deployment</t>
        </is>
      </c>
      <c r="D2" s="2" t="inlineStr">
        <is>
          <t>Production Deployment Workflow</t>
        </is>
      </c>
      <c r="E2" s="2" t="inlineStr">
        <is>
          <t>End-to-end workflow for deploying software releases to production, including risk analysis, legal clearance, and executive approval gates.</t>
        </is>
      </c>
      <c r="F2" s="2" t="inlineStr">
        <is>
          <t>ss:workflow-production-deployment</t>
        </is>
      </c>
      <c r="G2" s="2" t="inlineStr">
        <is>
          <t>2026-01-15</t>
        </is>
      </c>
      <c r="H2" s="2" t="inlineStr">
        <is>
          <t>risk-analysis, legal-clearance, release-approval-gate, deployment-execution, post-deployment-review</t>
        </is>
      </c>
      <c r="I2" s="2" t="n">
        <v>5</v>
      </c>
      <c r="J2" s="3">
        <f>$I2 &gt; 1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8" customWidth="1" min="5" max="5"/>
    <col width="14" customWidth="1" min="6" max="6"/>
    <col width="23" customWidth="1" min="7" max="7"/>
    <col width="14" customWidth="1" min="8" max="8"/>
    <col width="17" customWidth="1" min="9" max="9"/>
    <col width="20" customWidth="1" min="10" max="10"/>
    <col width="24" customWidth="1" min="11" max="11"/>
    <col width="38" customWidth="1" min="12" max="12"/>
    <col width="27" customWidth="1" min="13" max="13"/>
    <col width="25" customWidth="1" min="14" max="14"/>
    <col width="19" customWidth="1" min="15" max="15"/>
  </cols>
  <sheetData>
    <row r="1">
      <c r="A1" s="1" t="inlineStr">
        <is>
          <t>WorkflowStepId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</t>
        </is>
      </c>
      <c r="E1" s="1" t="inlineStr">
        <is>
          <t>SequencePosition</t>
        </is>
      </c>
      <c r="F1" s="1" t="inlineStr">
        <is>
          <t>AssignedRole</t>
        </is>
      </c>
      <c r="G1" s="1" t="inlineStr">
        <is>
          <t>RequiresHumanApproval</t>
        </is>
      </c>
      <c r="H1" s="1" t="inlineStr">
        <is>
          <t>ApprovalGate</t>
        </is>
      </c>
      <c r="I1" s="1" t="inlineStr">
        <is>
          <t>PrecededBySteps</t>
        </is>
      </c>
      <c r="J1" s="1" t="inlineStr">
        <is>
          <t>ExecutionActorType</t>
        </is>
      </c>
      <c r="K1" s="1" t="inlineStr">
        <is>
          <t>AssignedRoleDepartment</t>
        </is>
      </c>
      <c r="L1" s="1" t="inlineStr">
        <is>
          <t>ApprovalGateEscalationThresholdHours</t>
        </is>
      </c>
      <c r="M1" s="1" t="inlineStr">
        <is>
          <t>StepTransitions_From_Step</t>
        </is>
      </c>
      <c r="N1" s="1" t="inlineStr">
        <is>
          <t>StepTransitions_To_Step</t>
        </is>
      </c>
      <c r="O1" s="1" t="inlineStr">
        <is>
          <t>WorkflowArtifacts</t>
        </is>
      </c>
    </row>
    <row r="2">
      <c r="A2" s="2" t="inlineStr">
        <is>
          <t>risk-analysis</t>
        </is>
      </c>
      <c r="B2" s="3">
        <f>SUBSTITUTE(LOWER($C2), " ", "-")</f>
        <v/>
      </c>
      <c r="C2" s="2" t="inlineStr">
        <is>
          <t>Risk Analysis</t>
        </is>
      </c>
      <c r="D2" s="2" t="inlineStr">
        <is>
          <t>production-deployment</t>
        </is>
      </c>
      <c r="E2" s="2" t="n">
        <v>1</v>
      </c>
      <c r="F2" s="2" t="inlineStr">
        <is>
          <t>risk-analysis-agent</t>
        </is>
      </c>
      <c r="G2" s="2" t="b">
        <v>0</v>
      </c>
      <c r="H2" s="2" t="inlineStr"/>
      <c r="I2" s="2" t="inlineStr"/>
      <c r="J2" s="3">
        <f>IF($K2 = "HumanAgent", "HumanAgent", IF($K2 = "AIAgent", "AIAgent", IF($K2 = "AutomatedPipeline", "AutomatedPipeline", BLANK())))</f>
        <v/>
      </c>
      <c r="K2" s="2" t="inlineStr">
        <is>
          <t>engineering</t>
        </is>
      </c>
      <c r="L2" s="2" t="n">
        <v>0</v>
      </c>
      <c r="M2" s="2" t="inlineStr"/>
      <c r="N2" s="2" t="inlineStr"/>
      <c r="O2" s="2" t="inlineStr"/>
    </row>
    <row r="3">
      <c r="A3" s="2" t="inlineStr">
        <is>
          <t>legal-clearance</t>
        </is>
      </c>
      <c r="B3" s="3">
        <f>SUBSTITUTE(LOWER($C3), " ", "-")</f>
        <v/>
      </c>
      <c r="C3" s="2" t="inlineStr">
        <is>
          <t>Legal Clearance</t>
        </is>
      </c>
      <c r="D3" s="2" t="inlineStr">
        <is>
          <t>production-deployment</t>
        </is>
      </c>
      <c r="E3" s="2" t="n">
        <v>2</v>
      </c>
      <c r="F3" s="2" t="inlineStr">
        <is>
          <t>legal-compliance-reviewer</t>
        </is>
      </c>
      <c r="G3" s="2" t="b">
        <v>1</v>
      </c>
      <c r="H3" s="2" t="inlineStr"/>
      <c r="I3" s="2" t="inlineStr">
        <is>
          <t>step-1</t>
        </is>
      </c>
      <c r="J3" s="3">
        <f>IF($K3 = "HumanAgent", "HumanAgent", IF($K3 = "AIAgent", "AIAgent", IF($K3 = "AutomatedPipeline", "AutomatedPipeline", BLANK())))</f>
        <v/>
      </c>
      <c r="K3" s="2" t="inlineStr">
        <is>
          <t>legal</t>
        </is>
      </c>
      <c r="L3" s="2" t="n">
        <v>0</v>
      </c>
      <c r="M3" s="2" t="inlineStr"/>
      <c r="N3" s="2" t="inlineStr"/>
      <c r="O3" s="2" t="inlineStr"/>
    </row>
    <row r="4">
      <c r="A4" s="2" t="inlineStr">
        <is>
          <t>release-approval-gate</t>
        </is>
      </c>
      <c r="B4" s="3">
        <f>SUBSTITUTE(LOWER($C4), " ", "-")</f>
        <v/>
      </c>
      <c r="C4" s="2" t="inlineStr">
        <is>
          <t>Release Approval Gate</t>
        </is>
      </c>
      <c r="D4" s="2" t="inlineStr">
        <is>
          <t>production-deployment</t>
        </is>
      </c>
      <c r="E4" s="2" t="n">
        <v>3</v>
      </c>
      <c r="F4" s="2" t="inlineStr">
        <is>
          <t>release-manager</t>
        </is>
      </c>
      <c r="G4" s="2" t="b">
        <v>1</v>
      </c>
      <c r="H4" s="2" t="inlineStr">
        <is>
          <t>release-approval-gate</t>
        </is>
      </c>
      <c r="I4" s="2" t="inlineStr">
        <is>
          <t>step-2</t>
        </is>
      </c>
      <c r="J4" s="3">
        <f>IF($K4 = "HumanAgent", "HumanAgent", IF($K4 = "AIAgent", "AIAgent", IF($K4 = "AutomatedPipeline", "AutomatedPipeline", BLANK())))</f>
        <v/>
      </c>
      <c r="K4" s="2" t="inlineStr">
        <is>
          <t>engineering</t>
        </is>
      </c>
      <c r="L4" s="2" t="inlineStr">
        <is>
          <t>24</t>
        </is>
      </c>
      <c r="M4" s="2" t="inlineStr"/>
      <c r="N4" s="2" t="inlineStr"/>
      <c r="O4" s="2" t="inlineStr"/>
    </row>
    <row r="5">
      <c r="A5" s="2" t="inlineStr">
        <is>
          <t>deployment-execution</t>
        </is>
      </c>
      <c r="B5" s="3">
        <f>SUBSTITUTE(LOWER($C5), " ", "-")</f>
        <v/>
      </c>
      <c r="C5" s="2" t="inlineStr">
        <is>
          <t>Deployment Execution</t>
        </is>
      </c>
      <c r="D5" s="2" t="inlineStr">
        <is>
          <t>production-deployment</t>
        </is>
      </c>
      <c r="E5" s="2" t="n">
        <v>4</v>
      </c>
      <c r="F5" s="2" t="inlineStr">
        <is>
          <t>deployment-engineer</t>
        </is>
      </c>
      <c r="G5" s="2" t="b">
        <v>0</v>
      </c>
      <c r="H5" s="2" t="inlineStr"/>
      <c r="I5" s="2" t="inlineStr">
        <is>
          <t>step-3</t>
        </is>
      </c>
      <c r="J5" s="3">
        <f>IF($K5 = "HumanAgent", "HumanAgent", IF($K5 = "AIAgent", "AIAgent", IF($K5 = "AutomatedPipeline", "AutomatedPipeline", BLANK())))</f>
        <v/>
      </c>
      <c r="K5" s="2" t="inlineStr">
        <is>
          <t>engineering</t>
        </is>
      </c>
      <c r="L5" s="2" t="n">
        <v>0</v>
      </c>
      <c r="M5" s="2" t="inlineStr"/>
      <c r="N5" s="2" t="inlineStr"/>
      <c r="O5" s="2" t="inlineStr"/>
    </row>
    <row r="6">
      <c r="A6" s="2" t="inlineStr">
        <is>
          <t>post-deployment-review</t>
        </is>
      </c>
      <c r="B6" s="3">
        <f>SUBSTITUTE(LOWER($C6), " ", "-")</f>
        <v/>
      </c>
      <c r="C6" s="2" t="inlineStr">
        <is>
          <t>Post-Deployment Review</t>
        </is>
      </c>
      <c r="D6" s="2" t="inlineStr">
        <is>
          <t>production-deployment</t>
        </is>
      </c>
      <c r="E6" s="2" t="n">
        <v>5</v>
      </c>
      <c r="F6" s="2" t="inlineStr">
        <is>
          <t>release-manager</t>
        </is>
      </c>
      <c r="G6" s="2" t="b">
        <v>1</v>
      </c>
      <c r="H6" s="2" t="inlineStr"/>
      <c r="I6" s="2" t="inlineStr">
        <is>
          <t>step-4</t>
        </is>
      </c>
      <c r="J6" s="3">
        <f>IF($K6 = "HumanAgent", "HumanAgent", IF($K6 = "AIAgent", "AIAgent", IF($K6 = "AutomatedPipeline", "AutomatedPipeline", BLANK())))</f>
        <v/>
      </c>
      <c r="K6" s="2" t="inlineStr">
        <is>
          <t>engineering</t>
        </is>
      </c>
      <c r="L6" s="2" t="n">
        <v>0</v>
      </c>
      <c r="M6" s="2" t="inlineStr"/>
      <c r="N6" s="2" t="inlineStr"/>
      <c r="O6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5" customWidth="1" min="4" max="4"/>
    <col width="26" customWidth="1" min="5" max="5"/>
    <col width="29" customWidth="1" min="6" max="6"/>
    <col width="34" customWidth="1" min="7" max="7"/>
    <col width="38" customWidth="1" min="8" max="8"/>
    <col width="44" customWidth="1" min="9" max="9"/>
  </cols>
  <sheetData>
    <row r="1">
      <c r="A1" s="1" t="inlineStr">
        <is>
          <t>ApprovalId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WorkflowSteps</t>
        </is>
      </c>
      <c r="E1" s="1" t="inlineStr">
        <is>
          <t>EscalationThresholdHours</t>
        </is>
      </c>
      <c r="F1" s="1" t="inlineStr">
        <is>
          <t>Workflow_from_WorkflowSteps</t>
        </is>
      </c>
      <c r="G1" s="1" t="inlineStr">
        <is>
          <t>Assigned_Role_from_WorkflowSteps</t>
        </is>
      </c>
      <c r="H1" s="1" t="inlineStr">
        <is>
          <t>Sequence_Position_from_WorkflowSteps</t>
        </is>
      </c>
      <c r="I1" s="1" t="inlineStr">
        <is>
          <t>Requires_Human_Approval_from_WorkflowSteps</t>
        </is>
      </c>
    </row>
    <row r="2">
      <c r="A2" s="2" t="inlineStr">
        <is>
          <t>release-approval-gate</t>
        </is>
      </c>
      <c r="B2" s="3">
        <f>SUBSTITUTE(LOWER($C2), " ", "-")</f>
        <v/>
      </c>
      <c r="C2" s="2" t="inlineStr">
        <is>
          <t>Release Approval Gate</t>
        </is>
      </c>
      <c r="D2" s="2" t="inlineStr">
        <is>
          <t>release-approval-gate</t>
        </is>
      </c>
      <c r="E2" s="2" t="n">
        <v>24</v>
      </c>
      <c r="F2" s="2" t="inlineStr">
        <is>
          <t>production-deployment</t>
        </is>
      </c>
      <c r="G2" s="2" t="inlineStr">
        <is>
          <t>release-manager</t>
        </is>
      </c>
      <c r="H2" s="2" t="inlineStr">
        <is>
          <t>3</t>
        </is>
      </c>
      <c r="I2" s="2" t="inlineStr">
        <is>
          <t>True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12" customWidth="1" min="4" max="4"/>
    <col width="14" customWidth="1" min="5" max="5"/>
  </cols>
  <sheetData>
    <row r="1">
      <c r="A1" s="1" t="inlineStr">
        <is>
          <t>PrecedesStepId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StepNumber</t>
        </is>
      </c>
      <c r="E1" s="1" t="inlineStr">
        <is>
          <t>WorkflowStep</t>
        </is>
      </c>
    </row>
    <row r="2">
      <c r="A2" s="2" t="inlineStr">
        <is>
          <t>step-1</t>
        </is>
      </c>
      <c r="B2" s="2" t="inlineStr">
        <is>
          <t>step-1</t>
        </is>
      </c>
      <c r="C2" s="3">
        <f>"Step-" &amp; $D2</f>
        <v/>
      </c>
      <c r="D2" s="2" t="n">
        <v>32</v>
      </c>
      <c r="E2" s="2" t="inlineStr">
        <is>
          <t>legal-clearance</t>
        </is>
      </c>
    </row>
    <row r="3">
      <c r="A3" s="2" t="inlineStr">
        <is>
          <t>step-2</t>
        </is>
      </c>
      <c r="B3" s="2" t="inlineStr">
        <is>
          <t>step-2</t>
        </is>
      </c>
      <c r="C3" s="3">
        <f>"Step-" &amp; $D3</f>
        <v/>
      </c>
      <c r="D3" s="2" t="n">
        <v>33</v>
      </c>
      <c r="E3" s="2" t="inlineStr">
        <is>
          <t>release-approval-gate</t>
        </is>
      </c>
    </row>
    <row r="4">
      <c r="A4" s="2" t="inlineStr">
        <is>
          <t>step-3</t>
        </is>
      </c>
      <c r="B4" s="2" t="inlineStr">
        <is>
          <t>step-3</t>
        </is>
      </c>
      <c r="C4" s="3">
        <f>"Step-" &amp; $D4</f>
        <v/>
      </c>
      <c r="D4" s="2" t="n">
        <v>34</v>
      </c>
      <c r="E4" s="2" t="inlineStr">
        <is>
          <t>deployment-execution</t>
        </is>
      </c>
    </row>
    <row r="5">
      <c r="A5" s="2" t="inlineStr">
        <is>
          <t>step-4</t>
        </is>
      </c>
      <c r="B5" s="2" t="inlineStr">
        <is>
          <t>step-4</t>
        </is>
      </c>
      <c r="C5" s="3">
        <f>"Step-" &amp; $D5</f>
        <v/>
      </c>
      <c r="D5" s="2" t="n">
        <v>35</v>
      </c>
      <c r="E5" s="2" t="inlineStr">
        <is>
          <t>post-deployment-review</t>
        </is>
      </c>
    </row>
    <row r="6">
      <c r="A6" s="2" t="inlineStr">
        <is>
          <t>step-5</t>
        </is>
      </c>
      <c r="B6" s="2" t="inlineStr">
        <is>
          <t>step-5</t>
        </is>
      </c>
      <c r="C6" s="3">
        <f>"Step-" &amp; $D6</f>
        <v/>
      </c>
      <c r="D6" s="2" t="n">
        <v>36</v>
      </c>
      <c r="E6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20" customWidth="1" min="6" max="6"/>
    <col width="17" customWidth="1" min="7" max="7"/>
    <col width="27" customWidth="1" min="8" max="8"/>
    <col width="12" customWidth="1" min="9" max="9"/>
    <col width="13" customWidth="1" min="10" max="10"/>
    <col width="15" customWidth="1" min="11" max="11"/>
    <col width="17" customWidth="1" min="12" max="12"/>
    <col width="27" customWidth="1" min="13" max="13"/>
    <col width="37" customWidth="1" min="14" max="14"/>
    <col width="19" customWidth="1" min="15" max="15"/>
  </cols>
  <sheetData>
    <row r="1">
      <c r="A1" s="1" t="inlineStr">
        <is>
          <t>RoleId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Label</t>
        </is>
      </c>
      <c r="E1" s="1" t="inlineStr">
        <is>
          <t>Comment</t>
        </is>
      </c>
      <c r="F1" s="1" t="inlineStr">
        <is>
          <t>FilledByHumanAgent</t>
        </is>
      </c>
      <c r="G1" s="1" t="inlineStr">
        <is>
          <t>FilledByAIAgent</t>
        </is>
      </c>
      <c r="H1" s="1" t="inlineStr">
        <is>
          <t>FilledByAutomatedPipeline</t>
        </is>
      </c>
      <c r="I1" s="1" t="inlineStr">
        <is>
          <t>OwnedBy</t>
        </is>
      </c>
      <c r="J1" s="1" t="inlineStr">
        <is>
          <t>DelegatesTo</t>
        </is>
      </c>
      <c r="K1" s="1" t="inlineStr">
        <is>
          <t>WorkflowSteps</t>
        </is>
      </c>
      <c r="L1" s="1" t="inlineStr">
        <is>
          <t>FromDelegatesTo</t>
        </is>
      </c>
      <c r="M1" s="1" t="inlineStr">
        <is>
          <t>All_Linked_Workflow_Steps</t>
        </is>
      </c>
      <c r="N1" s="1" t="inlineStr">
        <is>
          <t>Distinct_Workflows_for_Linked_Steps</t>
        </is>
      </c>
      <c r="O1" s="1" t="inlineStr">
        <is>
          <t>WorkflowArtifacts</t>
        </is>
      </c>
    </row>
    <row r="2">
      <c r="A2" s="2" t="inlineStr">
        <is>
          <t>release-manager</t>
        </is>
      </c>
      <c r="B2" s="3">
        <f>LOWER($C2)</f>
        <v/>
      </c>
      <c r="C2" s="2" t="inlineStr">
        <is>
          <t>Release Manager</t>
        </is>
      </c>
      <c r="D2" s="2" t="inlineStr">
        <is>
          <t>Release Manager</t>
        </is>
      </c>
      <c r="E2" s="2" t="inlineStr">
        <is>
          <t>Primary role responsible for coordinating production releases. First in delegation chain for Release Approval Gate.</t>
        </is>
      </c>
      <c r="F2" s="2" t="inlineStr">
        <is>
          <t>maria-gonzalez</t>
        </is>
      </c>
      <c r="G2" s="2" t="inlineStr"/>
      <c r="H2" s="2" t="inlineStr"/>
      <c r="I2" s="2" t="inlineStr">
        <is>
          <t>engineering</t>
        </is>
      </c>
      <c r="J2" s="2" t="inlineStr">
        <is>
          <t>vp-engineering</t>
        </is>
      </c>
      <c r="K2" s="2" t="inlineStr">
        <is>
          <t>release-approval-gate, post-deployment-review</t>
        </is>
      </c>
      <c r="L2" s="2" t="inlineStr"/>
      <c r="M2" s="2" t="inlineStr">
        <is>
          <t>release-approval-gate, post-deployment-review</t>
        </is>
      </c>
      <c r="N2" s="2" t="inlineStr">
        <is>
          <t>production-deployment, production-deployment</t>
        </is>
      </c>
      <c r="O2" s="2" t="inlineStr"/>
    </row>
    <row r="3">
      <c r="A3" s="2" t="inlineStr">
        <is>
          <t>vp-engineering</t>
        </is>
      </c>
      <c r="B3" s="3">
        <f>LOWER($C3)</f>
        <v/>
      </c>
      <c r="C3" s="2" t="inlineStr">
        <is>
          <t>VP Engineering</t>
        </is>
      </c>
      <c r="D3" s="2" t="inlineStr">
        <is>
          <t>VP Engineering</t>
        </is>
      </c>
      <c r="E3" s="2" t="inlineStr">
        <is>
          <t>Vice President of Engineering. Second in delegation chain for Release Approval Gate.</t>
        </is>
      </c>
      <c r="F3" s="2" t="inlineStr">
        <is>
          <t>james-okafor</t>
        </is>
      </c>
      <c r="G3" s="2" t="inlineStr"/>
      <c r="H3" s="2" t="inlineStr"/>
      <c r="I3" s="2" t="inlineStr">
        <is>
          <t>engineering</t>
        </is>
      </c>
      <c r="J3" s="2" t="inlineStr">
        <is>
          <t>cto</t>
        </is>
      </c>
      <c r="K3" s="2" t="inlineStr"/>
      <c r="L3" s="2" t="inlineStr">
        <is>
          <t>release-manager</t>
        </is>
      </c>
      <c r="M3" s="2" t="inlineStr"/>
      <c r="N3" s="2" t="inlineStr"/>
      <c r="O3" s="2" t="inlineStr"/>
    </row>
    <row r="4">
      <c r="A4" s="2" t="inlineStr">
        <is>
          <t>cto</t>
        </is>
      </c>
      <c r="B4" s="3">
        <f>LOWER($C4)</f>
        <v/>
      </c>
      <c r="C4" s="2" t="inlineStr">
        <is>
          <t>CTO</t>
        </is>
      </c>
      <c r="D4" s="2" t="inlineStr">
        <is>
          <t>CTO</t>
        </is>
      </c>
      <c r="E4" s="2" t="inlineStr">
        <is>
          <t>Chief Technology Officer. Final authority in delegation chain for Release Approval Gate.</t>
        </is>
      </c>
      <c r="F4" s="2" t="inlineStr">
        <is>
          <t>chen-wei</t>
        </is>
      </c>
      <c r="G4" s="2" t="inlineStr"/>
      <c r="H4" s="2" t="inlineStr"/>
      <c r="I4" s="2" t="inlineStr">
        <is>
          <t>engineering</t>
        </is>
      </c>
      <c r="J4" s="2" t="inlineStr"/>
      <c r="K4" s="2" t="inlineStr"/>
      <c r="L4" s="2" t="inlineStr">
        <is>
          <t>vp-engineering</t>
        </is>
      </c>
      <c r="M4" s="2" t="inlineStr"/>
      <c r="N4" s="2" t="inlineStr"/>
      <c r="O4" s="2" t="inlineStr"/>
    </row>
    <row r="5">
      <c r="A5" s="2" t="inlineStr">
        <is>
          <t>legal-compliance-reviewer</t>
        </is>
      </c>
      <c r="B5" s="3">
        <f>LOWER($C5)</f>
        <v/>
      </c>
      <c r="C5" s="2" t="inlineStr">
        <is>
          <t>Legal Compliance Reviewer</t>
        </is>
      </c>
      <c r="D5" s="2" t="inlineStr">
        <is>
          <t>Legal Compliance Reviewer</t>
        </is>
      </c>
      <c r="E5" s="2" t="inlineStr">
        <is>
          <t>Role responsible for legal and compliance review of releases.</t>
        </is>
      </c>
      <c r="F5" s="2" t="inlineStr"/>
      <c r="G5" s="2" t="inlineStr"/>
      <c r="H5" s="2" t="inlineStr"/>
      <c r="I5" s="2" t="inlineStr">
        <is>
          <t>legal</t>
        </is>
      </c>
      <c r="J5" s="2" t="inlineStr"/>
      <c r="K5" s="2" t="inlineStr">
        <is>
          <t>legal-clearance</t>
        </is>
      </c>
      <c r="L5" s="2" t="inlineStr"/>
      <c r="M5" s="2" t="inlineStr">
        <is>
          <t>legal-clearance</t>
        </is>
      </c>
      <c r="N5" s="2" t="inlineStr">
        <is>
          <t>production-deployment</t>
        </is>
      </c>
      <c r="O5" s="2" t="inlineStr"/>
    </row>
    <row r="6">
      <c r="A6" s="2" t="inlineStr">
        <is>
          <t>risk-analysis-agent</t>
        </is>
      </c>
      <c r="B6" s="3">
        <f>LOWER($C6)</f>
        <v/>
      </c>
      <c r="C6" s="2" t="inlineStr">
        <is>
          <t>Risk Analysis Agent</t>
        </is>
      </c>
      <c r="D6" s="2" t="inlineStr">
        <is>
          <t>Risk Analysis Agent</t>
        </is>
      </c>
      <c r="E6" s="2" t="inlineStr">
        <is>
          <t>Role assigned to AI systems performing automated risk assessment.</t>
        </is>
      </c>
      <c r="F6" s="2" t="inlineStr"/>
      <c r="G6" s="2" t="inlineStr">
        <is>
          <t>risk-analysis-ai</t>
        </is>
      </c>
      <c r="H6" s="2" t="inlineStr"/>
      <c r="I6" s="2" t="inlineStr">
        <is>
          <t>engineering</t>
        </is>
      </c>
      <c r="J6" s="2" t="inlineStr"/>
      <c r="K6" s="2" t="inlineStr">
        <is>
          <t>risk-analysis</t>
        </is>
      </c>
      <c r="L6" s="2" t="inlineStr"/>
      <c r="M6" s="2" t="inlineStr">
        <is>
          <t>risk-analysis</t>
        </is>
      </c>
      <c r="N6" s="2" t="inlineStr">
        <is>
          <t>production-deployment</t>
        </is>
      </c>
      <c r="O6" s="2" t="inlineStr"/>
    </row>
    <row r="7">
      <c r="A7" s="2" t="inlineStr">
        <is>
          <t>deployment-engineer</t>
        </is>
      </c>
      <c r="B7" s="3">
        <f>LOWER($C7)</f>
        <v/>
      </c>
      <c r="C7" s="2" t="inlineStr">
        <is>
          <t>Deployment Engineer</t>
        </is>
      </c>
      <c r="D7" s="2" t="inlineStr">
        <is>
          <t>Deployment Engineer</t>
        </is>
      </c>
      <c r="E7" s="2" t="inlineStr">
        <is>
          <t>Role responsible for executing and monitoring production deployments.</t>
        </is>
      </c>
      <c r="F7" s="2" t="inlineStr"/>
      <c r="G7" s="2" t="inlineStr"/>
      <c r="H7" s="2" t="inlineStr">
        <is>
          <t>ci-pipeline</t>
        </is>
      </c>
      <c r="I7" s="2" t="inlineStr">
        <is>
          <t>engineering</t>
        </is>
      </c>
      <c r="J7" s="2" t="inlineStr"/>
      <c r="K7" s="2" t="inlineStr">
        <is>
          <t>deployment-execution</t>
        </is>
      </c>
      <c r="L7" s="2" t="inlineStr"/>
      <c r="M7" s="2" t="inlineStr">
        <is>
          <t>deployment-execution</t>
        </is>
      </c>
      <c r="N7" s="2" t="inlineStr">
        <is>
          <t>production-deployment</t>
        </is>
      </c>
      <c r="O7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2" customWidth="1" min="5" max="5"/>
    <col width="17" customWidth="1" min="6" max="6"/>
    <col width="28" customWidth="1" min="7" max="7"/>
    <col width="40" customWidth="1" min="8" max="8"/>
  </cols>
  <sheetData>
    <row r="1">
      <c r="A1" s="1" t="inlineStr">
        <is>
          <t>DepartmentId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Roles</t>
        </is>
      </c>
      <c r="F1" s="1" t="inlineStr">
        <is>
          <t>All_Owned_Roles</t>
        </is>
      </c>
      <c r="G1" s="1" t="inlineStr">
        <is>
          <t>All_Related_Workflow_Steps</t>
        </is>
      </c>
      <c r="H1" s="1" t="inlineStr">
        <is>
          <t>All_Distinct_Workflows_for_Owned_Roles</t>
        </is>
      </c>
    </row>
    <row r="2">
      <c r="A2" s="2" t="inlineStr">
        <is>
          <t>engineering</t>
        </is>
      </c>
      <c r="B2" s="3">
        <f>SUBSTITUTE(LOWER($D2), " ", "-")</f>
        <v/>
      </c>
      <c r="C2" s="2" t="inlineStr">
        <is>
          <t>Engineering department responsible for software development and deployment.</t>
        </is>
      </c>
      <c r="D2" s="2" t="inlineStr">
        <is>
          <t>Engineering</t>
        </is>
      </c>
      <c r="E2" s="2" t="inlineStr">
        <is>
          <t>release-manager, vp-engineering, cto, risk-analysis-agent, deployment-engineer</t>
        </is>
      </c>
      <c r="F2" s="2" t="inlineStr">
        <is>
          <t>Release Manager, VP Engineering, CTO, Risk Analysis Agent, Deployment Engineer</t>
        </is>
      </c>
      <c r="G2" s="2" t="inlineStr">
        <is>
          <t>release-approval-gate, post-deployment-review, risk-analysis, deployment-execution</t>
        </is>
      </c>
      <c r="H2" s="2" t="inlineStr">
        <is>
          <t>production-deployment, production-deployment, production-deployment, production-deployment</t>
        </is>
      </c>
    </row>
    <row r="3">
      <c r="A3" s="2" t="inlineStr">
        <is>
          <t>legal</t>
        </is>
      </c>
      <c r="B3" s="3">
        <f>SUBSTITUTE(LOWER($D3), " ", "-")</f>
        <v/>
      </c>
      <c r="C3" s="2" t="inlineStr">
        <is>
          <t>Legal department responsible for compliance review.</t>
        </is>
      </c>
      <c r="D3" s="2" t="inlineStr">
        <is>
          <t>Legal</t>
        </is>
      </c>
      <c r="E3" s="2" t="inlineStr">
        <is>
          <t>legal-compliance-reviewer</t>
        </is>
      </c>
      <c r="F3" s="2" t="inlineStr">
        <is>
          <t>Legal Compliance Reviewer</t>
        </is>
      </c>
      <c r="G3" s="2" t="inlineStr">
        <is>
          <t>legal-clearance</t>
        </is>
      </c>
      <c r="H3" s="2" t="inlineStr">
        <is>
          <t>production-deployment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3" customWidth="1" min="3" max="3"/>
    <col width="12" customWidth="1" min="4" max="4"/>
    <col width="12" customWidth="1" min="5" max="5"/>
    <col width="18" customWidth="1" min="6" max="6"/>
    <col width="28" customWidth="1" min="7" max="7"/>
    <col width="41" customWidth="1" min="8" max="8"/>
    <col width="19" customWidth="1" min="9" max="9"/>
  </cols>
  <sheetData>
    <row r="1">
      <c r="A1" s="1" t="inlineStr">
        <is>
          <t>HumanAgentId</t>
        </is>
      </c>
      <c r="B1" s="1" t="inlineStr">
        <is>
          <t>Name</t>
        </is>
      </c>
      <c r="C1" s="1" t="inlineStr">
        <is>
          <t>DisplayName</t>
        </is>
      </c>
      <c r="D1" s="1" t="inlineStr">
        <is>
          <t>Mbox</t>
        </is>
      </c>
      <c r="E1" s="1" t="inlineStr">
        <is>
          <t>Roles</t>
        </is>
      </c>
      <c r="F1" s="1" t="inlineStr">
        <is>
          <t>All_Linked_Roles</t>
        </is>
      </c>
      <c r="G1" s="1" t="inlineStr">
        <is>
          <t>All_Related_Workflow_Steps</t>
        </is>
      </c>
      <c r="H1" s="1" t="inlineStr">
        <is>
          <t>All_Distinct_Workflows_for_Linked_Roles</t>
        </is>
      </c>
      <c r="I1" s="1" t="inlineStr">
        <is>
          <t>WorkflowArtifacts</t>
        </is>
      </c>
    </row>
    <row r="2">
      <c r="A2" s="2" t="inlineStr">
        <is>
          <t>maria-gonzalez</t>
        </is>
      </c>
      <c r="B2" s="2" t="inlineStr">
        <is>
          <t>maria-gonzalez</t>
        </is>
      </c>
      <c r="C2" s="2" t="inlineStr">
        <is>
          <t>Maria Gonzalez</t>
        </is>
      </c>
      <c r="D2" s="2" t="inlineStr">
        <is>
          <t>mailto:maria.gonzalez@specialsolutions.example</t>
        </is>
      </c>
      <c r="E2" s="2" t="inlineStr">
        <is>
          <t>release-manager</t>
        </is>
      </c>
      <c r="F2" s="2" t="inlineStr">
        <is>
          <t>release manager</t>
        </is>
      </c>
      <c r="G2" s="2" t="inlineStr">
        <is>
          <t>release-approval-gate, post-deployment-review</t>
        </is>
      </c>
      <c r="H2" s="2" t="inlineStr">
        <is>
          <t>production-deployment, production-deployment</t>
        </is>
      </c>
      <c r="I2" s="2" t="inlineStr"/>
    </row>
    <row r="3">
      <c r="A3" s="2" t="inlineStr">
        <is>
          <t>james-okafor</t>
        </is>
      </c>
      <c r="B3" s="2" t="inlineStr">
        <is>
          <t>james-okafor</t>
        </is>
      </c>
      <c r="C3" s="2" t="inlineStr">
        <is>
          <t>James Okafor</t>
        </is>
      </c>
      <c r="D3" s="2" t="inlineStr">
        <is>
          <t>mailto:james.okafor@specialsolutions.example</t>
        </is>
      </c>
      <c r="E3" s="2" t="inlineStr">
        <is>
          <t>vp-engineering</t>
        </is>
      </c>
      <c r="F3" s="2" t="inlineStr">
        <is>
          <t>vp engineering</t>
        </is>
      </c>
      <c r="G3" s="2" t="inlineStr"/>
      <c r="H3" s="2" t="inlineStr"/>
      <c r="I3" s="2" t="inlineStr"/>
    </row>
    <row r="4">
      <c r="A4" s="2" t="inlineStr">
        <is>
          <t>chen-wei</t>
        </is>
      </c>
      <c r="B4" s="2" t="inlineStr">
        <is>
          <t>chen-wei</t>
        </is>
      </c>
      <c r="C4" s="2" t="inlineStr">
        <is>
          <t>Chen Wei</t>
        </is>
      </c>
      <c r="D4" s="2" t="inlineStr">
        <is>
          <t>mailto:chen.wei@specialsolutions.example</t>
        </is>
      </c>
      <c r="E4" s="2" t="inlineStr">
        <is>
          <t>cto</t>
        </is>
      </c>
      <c r="F4" s="2" t="inlineStr">
        <is>
          <t>cto</t>
        </is>
      </c>
      <c r="G4" s="2" t="inlineStr"/>
      <c r="H4" s="2" t="inlineStr"/>
      <c r="I4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4" customWidth="1" min="5" max="5"/>
    <col width="12" customWidth="1" min="6" max="6"/>
    <col width="19" customWidth="1" min="7" max="7"/>
  </cols>
  <sheetData>
    <row r="1">
      <c r="A1" s="1" t="inlineStr">
        <is>
          <t>AIAgentId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DisplayName</t>
        </is>
      </c>
      <c r="E1" s="1" t="inlineStr">
        <is>
          <t>ModelVersion</t>
        </is>
      </c>
      <c r="F1" s="1" t="inlineStr">
        <is>
          <t>Roles</t>
        </is>
      </c>
      <c r="G1" s="1" t="inlineStr">
        <is>
          <t>WorkflowArtifacts</t>
        </is>
      </c>
    </row>
    <row r="2">
      <c r="A2" s="2" t="inlineStr">
        <is>
          <t>risk-analysis-ai</t>
        </is>
      </c>
      <c r="B2" s="2" t="inlineStr">
        <is>
          <t>risk-analysis-ai</t>
        </is>
      </c>
      <c r="C2" s="2" t="inlineStr">
        <is>
          <t>AI agent that processes Q1 2026 Risk Metrics dataset for automated risk assessment.</t>
        </is>
      </c>
      <c r="D2" s="2" t="inlineStr">
        <is>
          <t>RiskAnalysis-AI</t>
        </is>
      </c>
      <c r="E2" s="2" t="inlineStr">
        <is>
          <t>risk-classifier-v2.4.1</t>
        </is>
      </c>
      <c r="F2" s="2" t="inlineStr">
        <is>
          <t>risk-analysis-agent</t>
        </is>
      </c>
      <c r="G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</cols>
  <sheetData>
    <row r="1">
      <c r="A1" s="1" t="inlineStr">
        <is>
          <t>AutomatedPipelineId</t>
        </is>
      </c>
      <c r="B1" s="1" t="inlineStr">
        <is>
          <t>Name</t>
        </is>
      </c>
      <c r="C1" s="1" t="inlineStr">
        <is>
          <t>Description</t>
        </is>
      </c>
      <c r="D1" s="1" t="inlineStr">
        <is>
          <t>DisplayName</t>
        </is>
      </c>
      <c r="E1" s="1" t="inlineStr">
        <is>
          <t>Roles</t>
        </is>
      </c>
      <c r="F1" s="1" t="inlineStr">
        <is>
          <t>WorkflowArtifacts</t>
        </is>
      </c>
    </row>
    <row r="2">
      <c r="A2" s="2" t="inlineStr">
        <is>
          <t>ci-pipeline</t>
        </is>
      </c>
      <c r="B2" s="2" t="inlineStr">
        <is>
          <t>ci-pipeline</t>
        </is>
      </c>
      <c r="C2" s="2" t="inlineStr">
        <is>
          <t>Continuous Integration pipeline that executes production deployments.</t>
        </is>
      </c>
      <c r="D2" s="2" t="inlineStr">
        <is>
          <t>CI Pipeline</t>
        </is>
      </c>
      <c r="E2" s="2" t="inlineStr">
        <is>
          <t>deployment-engineer</t>
        </is>
      </c>
      <c r="F2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25" customWidth="1" min="5" max="5"/>
  </cols>
  <sheetData>
    <row r="1">
      <c r="A1" s="1" t="inlineStr">
        <is>
          <t>StepTransitionId</t>
        </is>
      </c>
      <c r="B1" s="1" t="inlineStr">
        <is>
          <t>Name</t>
        </is>
      </c>
      <c r="C1" s="1" t="inlineStr">
        <is>
          <t>From_Step</t>
        </is>
      </c>
      <c r="D1" s="1" t="inlineStr">
        <is>
          <t>To_Step</t>
        </is>
      </c>
      <c r="E1" s="1" t="inlineStr">
        <is>
          <t>Workflow_from_From_Step</t>
        </is>
      </c>
    </row>
    <row r="2">
      <c r="A2" s="2" t="inlineStr">
        <is>
          <t>recyFLWI1GTneB21x</t>
        </is>
      </c>
      <c r="B2" s="2" t="inlineStr"/>
      <c r="C2" s="2" t="inlineStr"/>
      <c r="D2" s="2" t="inlineStr"/>
      <c r="E2" s="2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5" customWidth="1" min="2" max="2"/>
    <col width="18" customWidth="1" min="3" max="3"/>
    <col width="32" customWidth="1" min="4" max="4"/>
    <col width="17" customWidth="1" min="5" max="5"/>
    <col width="24" customWidth="1" min="6" max="6"/>
    <col width="21" customWidth="1" min="7" max="7"/>
    <col width="21" customWidth="1" min="8" max="8"/>
    <col width="23" customWidth="1" min="9" max="9"/>
    <col width="22" customWidth="1" min="10" max="10"/>
    <col width="15" customWidth="1" min="11" max="11"/>
    <col width="34" customWidth="1" min="12" max="12"/>
  </cols>
  <sheetData>
    <row r="1">
      <c r="A1" s="1" t="inlineStr">
        <is>
          <t>WorkflowArtifactId</t>
        </is>
      </c>
      <c r="B1" s="1" t="inlineStr">
        <is>
          <t>Artifact_Name</t>
        </is>
      </c>
      <c r="C1" s="1" t="inlineStr">
        <is>
          <t>Produced_By_Step</t>
        </is>
      </c>
      <c r="D1" s="1" t="inlineStr">
        <is>
          <t>Workflow_from_Produced_By_Step</t>
        </is>
      </c>
      <c r="E1" s="1" t="inlineStr">
        <is>
          <t>Attributed_Role</t>
        </is>
      </c>
      <c r="F1" s="1" t="inlineStr">
        <is>
          <t>Attributed_Human_Agent</t>
        </is>
      </c>
      <c r="G1" s="1" t="inlineStr">
        <is>
          <t>Attributed_AI_Agent</t>
        </is>
      </c>
      <c r="H1" s="1" t="inlineStr">
        <is>
          <t>Attributed_Pipeline</t>
        </is>
      </c>
      <c r="I1" s="1" t="inlineStr">
        <is>
          <t>Derived_From_Artifact</t>
        </is>
      </c>
      <c r="J1" s="1" t="inlineStr">
        <is>
          <t>Artifact_Description</t>
        </is>
      </c>
      <c r="K1" s="1" t="inlineStr">
        <is>
          <t>Artifact_File</t>
        </is>
      </c>
      <c r="L1" s="1" t="inlineStr">
        <is>
          <t>From_field_Derived_From_Artifact</t>
        </is>
      </c>
    </row>
    <row r="2">
      <c r="A2" s="2" t="inlineStr">
        <is>
          <t>reciCzrsZeMEg90oc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CREATE OR REPLACE FUNCTION public.calc_roles_all_linked_workflow_steps(p_role_id text)
 RETURNS text
 LANGUAGE plpgsql
 STABLE SECURITY DEFINER
AS $function$
BEGIN
  RETURN (SELECT string_agg(DISTINCT calc_workflow_steps_name(workflow_step_id)::text, ', ') FROM workflow_steps WHERE assigned_role = p_role_id);
END;
$function$;
CREATE OR REPLACE FUNCTION public.calc_departments_all_related_workflow_steps(p_department_id text)
 RETURNS text
 LANGUAGE plpgsql
 STABLE SECURITY DEFINER
AS $function$
BEGIN
  RETURN (SELECT string_agg(DISTINCT calc_roles_all_linked_workflow_steps(role_id)::text, ', ') FROM roles WHERE owned_by = p_department_id);
END;
$function$;
CREATE OR REPLACE FUNCTION public.calc_departments_all_distinct_workflows_for_owned_roles(p_department_id text)
 RETURNS text
 LANGUAGE plpgsql
 STABLE SECURITY DEFINER
AS $function$
BEGIN
  RETURN (SELECT string_agg(DISTINCT calc_roles_distinct_workflows_for_linked_steps(role_id)::text, ', ') FROM roles WHERE owned_by = p_department_id);
END;
$function$;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2026-03-16T07:29:37Z</dcterms:created>
  <dcterms:modified xsi:type="dcterms:W3CDTF">2026-03-16T07:29:37Z</dcterms:modified>
</cp:coreProperties>
</file>