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Users" sheetId="1" state="visible" r:id="rId1"/>
    <sheet name="Shapes" sheetId="2" state="visible" r:id="rId2"/>
    <sheet name="Sides" sheetId="3" state="visible" r:id="rId3"/>
    <sheet name="Widgets" sheetId="4" state="visible" r:id="rId4"/>
    <sheet name="ERBVersions" sheetId="5" state="visible" r:id="rId5"/>
    <sheet name="ERBCustomizations" sheetId="6" state="visible" r:id="rId6"/>
    <sheet name="MagicLinkIntegr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ERB Rulebook</author>
  </authors>
  <commentList>
    <comment ref="D1" authorId="0" shapeId="0">
      <text>
        <t>Label for this edge</t>
      </text>
    </comment>
    <comment ref="G1" authorId="0" shapeId="0">
      <text>
        <t>Is this the Hypotenuse of a Right Angle Triangle?</t>
      </text>
    </comment>
    <comment ref="H1" authorId="0" shapeId="0">
      <text>
        <t>Is this the Hypotenuse of a Right Angle Triangle?</t>
      </text>
    </comment>
    <comment ref="I1" authorId="0" shapeId="0">
      <text>
        <t>Invalid if it is a Triangle with Mismatchd Edge Lengths and Angles.</t>
      </text>
    </comment>
    <comment ref="J1" authorId="0" shapeId="0">
      <text>
        <t>Does the Pythagorean Theorem Hold?</t>
      </text>
    </comment>
    <comment ref="N1" authorId="0" shapeId="0">
      <text>
        <t>Previous Edge Length</t>
      </text>
    </comment>
    <comment ref="O1" authorId="0" shapeId="0">
      <text>
        <t>Length</t>
      </text>
    </comment>
    <comment ref="P1" authorId="0" shapeId="0">
      <text>
        <t>Next Edge Length</t>
      </text>
    </comment>
    <comment ref="Q1" authorId="0" shapeId="0">
      <text>
        <t>Previous Angle</t>
      </text>
    </comment>
    <comment ref="R1" authorId="0" shapeId="0">
      <text>
        <t>Internal angles for the shapes</t>
      </text>
    </comment>
    <comment ref="S1" authorId="0" shapeId="0">
      <text>
        <t>Next Angle</t>
      </text>
    </comment>
    <comment ref="T1" authorId="0" shapeId="0">
      <text>
        <t>Previous Edge</t>
      </text>
    </comment>
    <comment ref="U1" authorId="0" shapeId="0">
      <text>
        <t>Next Edge</t>
      </text>
    </comment>
    <comment ref="V1" authorId="0" shapeId="0">
      <text>
        <t>Shape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AppUserId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Role</t>
        </is>
      </c>
      <c r="E1" s="1" t="inlineStr">
        <is>
          <t>IsActive</t>
        </is>
      </c>
      <c r="F1" s="1" t="inlineStr">
        <is>
          <t>Widgets</t>
        </is>
      </c>
      <c r="G1" s="1" t="inlineStr">
        <is>
          <t>Notes</t>
        </is>
      </c>
    </row>
    <row r="2">
      <c r="A2" s="2" t="inlineStr">
        <is>
          <t>ej</t>
        </is>
      </c>
      <c r="B2" s="2" t="inlineStr">
        <is>
          <t>EJ</t>
        </is>
      </c>
      <c r="C2" s="2" t="inlineStr">
        <is>
          <t>ej@ssot.me</t>
        </is>
      </c>
      <c r="D2" s="2" t="inlineStr">
        <is>
          <t>Admin</t>
        </is>
      </c>
      <c r="E2" s="2" t="b">
        <v>1</v>
      </c>
      <c r="F2" s="2" t="inlineStr"/>
      <c r="G2" s="2" t="inlineStr"/>
    </row>
    <row r="3">
      <c r="A3" s="2" t="inlineStr">
        <is>
          <t>bob</t>
        </is>
      </c>
      <c r="B3" s="2" t="inlineStr">
        <is>
          <t>Bob</t>
        </is>
      </c>
      <c r="C3" s="2" t="inlineStr">
        <is>
          <t>bob@ssot.me</t>
        </is>
      </c>
      <c r="D3" s="2" t="inlineStr">
        <is>
          <t>Mathemetician</t>
        </is>
      </c>
      <c r="E3" s="2" t="b">
        <v>1</v>
      </c>
      <c r="F3" s="2" t="inlineStr">
        <is>
          <t>widget1, widget2</t>
        </is>
      </c>
      <c r="G3" s="2" t="inlineStr"/>
    </row>
    <row r="4">
      <c r="A4" s="2" t="inlineStr">
        <is>
          <t>andy</t>
        </is>
      </c>
      <c r="B4" s="2" t="inlineStr">
        <is>
          <t>Andy</t>
        </is>
      </c>
      <c r="C4" s="2" t="inlineStr">
        <is>
          <t>guest@ssot.me</t>
        </is>
      </c>
      <c r="D4" s="2" t="inlineStr">
        <is>
          <t>Guest</t>
        </is>
      </c>
      <c r="E4" s="2" t="b">
        <v>1</v>
      </c>
      <c r="F4" s="2" t="inlineStr">
        <is>
          <t>widget3</t>
        </is>
      </c>
      <c r="G4" s="2" t="inlineStr"/>
    </row>
    <row r="5">
      <c r="A5" s="2" t="inlineStr">
        <is>
          <t>bob2</t>
        </is>
      </c>
      <c r="B5" s="2" t="inlineStr">
        <is>
          <t>Bob2</t>
        </is>
      </c>
      <c r="C5" s="2" t="inlineStr">
        <is>
          <t>bob@ssot.me</t>
        </is>
      </c>
      <c r="D5" s="2" t="inlineStr"/>
      <c r="E5" s="2" t="b">
        <v>0</v>
      </c>
      <c r="F5" s="2" t="inlineStr"/>
      <c r="G5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21" customWidth="1" min="8" max="8"/>
    <col width="12" customWidth="1" min="9" max="9"/>
    <col width="25" customWidth="1" min="10" max="10"/>
    <col width="27" customWidth="1" min="11" max="11"/>
    <col width="25" customWidth="1" min="12" max="12"/>
  </cols>
  <sheetData>
    <row r="1">
      <c r="A1" s="1" t="inlineStr">
        <is>
          <t>ShapeId</t>
        </is>
      </c>
      <c r="B1" s="1" t="inlineStr">
        <is>
          <t>Name</t>
        </is>
      </c>
      <c r="C1" s="1" t="inlineStr">
        <is>
          <t>Sides</t>
        </is>
      </c>
      <c r="D1" s="1" t="inlineStr">
        <is>
          <t>HowManySides</t>
        </is>
      </c>
      <c r="E1" s="1" t="inlineStr">
        <is>
          <t>IsRectangle</t>
        </is>
      </c>
      <c r="F1" s="1" t="inlineStr">
        <is>
          <t>IsTriangle</t>
        </is>
      </c>
      <c r="G1" s="1" t="inlineStr">
        <is>
          <t>IsRightTriangle</t>
        </is>
      </c>
      <c r="H1" s="1" t="inlineStr">
        <is>
          <t>SumOfInternalAngles</t>
        </is>
      </c>
      <c r="I1" s="1" t="inlineStr">
        <is>
          <t>MaxAngle</t>
        </is>
      </c>
      <c r="J1" s="1" t="inlineStr">
        <is>
          <t>HypotenuseLengthSquared</t>
        </is>
      </c>
      <c r="K1" s="1" t="inlineStr">
        <is>
          <t>NonHypotenuseSidesSquared</t>
        </is>
      </c>
      <c r="L1" s="1" t="inlineStr">
        <is>
          <t>PythagoreanTheoremHolds</t>
        </is>
      </c>
    </row>
    <row r="2">
      <c r="A2" s="2" t="inlineStr">
        <is>
          <t>shape1</t>
        </is>
      </c>
      <c r="B2" s="2" t="inlineStr">
        <is>
          <t>Shape1</t>
        </is>
      </c>
      <c r="C2" s="2" t="inlineStr">
        <is>
          <t>shape1-side-a, shape1-side-b, shape1-side-c</t>
        </is>
      </c>
      <c r="D2" s="2" t="n">
        <v>3</v>
      </c>
      <c r="E2" s="3">
        <f>AND($D2=4)</f>
        <v/>
      </c>
      <c r="F2" s="3">
        <f>AND($H2=180, $D2=3)</f>
        <v/>
      </c>
      <c r="G2" s="3">
        <f>AND($F2, $I2 = 90)</f>
        <v/>
      </c>
      <c r="H2" s="2" t="n">
        <v>180</v>
      </c>
      <c r="I2" s="2" t="n">
        <v>90</v>
      </c>
      <c r="J2" s="2" t="n">
        <v>25</v>
      </c>
      <c r="K2" s="2" t="n">
        <v>25</v>
      </c>
      <c r="L2" s="3">
        <f>AND(
  $G2,  
  $J2 = $K2
)</f>
        <v/>
      </c>
    </row>
    <row r="3">
      <c r="A3" s="2" t="inlineStr">
        <is>
          <t>shape2</t>
        </is>
      </c>
      <c r="B3" s="2" t="inlineStr">
        <is>
          <t>Shape2</t>
        </is>
      </c>
      <c r="C3" s="2" t="inlineStr">
        <is>
          <t>shape2-side-a, shape2-side-b, shape2-side-c, shape2-side-d</t>
        </is>
      </c>
      <c r="D3" s="2" t="n">
        <v>4</v>
      </c>
      <c r="E3" s="3">
        <f>AND($D3=4)</f>
        <v/>
      </c>
      <c r="F3" s="3">
        <f>AND($H3=180, $D3=3)</f>
        <v/>
      </c>
      <c r="G3" s="3">
        <f>AND($F3, $I3 = 90)</f>
        <v/>
      </c>
      <c r="H3" s="2" t="n">
        <v>360</v>
      </c>
      <c r="I3" s="2" t="n">
        <v>90</v>
      </c>
      <c r="J3" s="2" t="n">
        <v>0</v>
      </c>
      <c r="K3" s="2" t="n">
        <v>0</v>
      </c>
      <c r="L3" s="3">
        <f>AND(
  $G3,  
  $J3 = $K3
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7" customWidth="1" min="7" max="7"/>
    <col width="14" customWidth="1" min="8" max="8"/>
    <col width="17" customWidth="1" min="9" max="9"/>
    <col width="25" customWidth="1" min="10" max="10"/>
    <col width="15" customWidth="1" min="11" max="11"/>
    <col width="25" customWidth="1" min="12" max="12"/>
    <col width="28" customWidth="1" min="13" max="13"/>
    <col width="20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4" customWidth="1" min="20" max="20"/>
    <col width="12" customWidth="1" min="21" max="21"/>
    <col width="12" customWidth="1" min="22" max="22"/>
    <col width="15" customWidth="1" min="23" max="23"/>
    <col width="12" customWidth="1" min="24" max="24"/>
  </cols>
  <sheetData>
    <row r="1">
      <c r="A1" s="1" t="inlineStr">
        <is>
          <t>SideId</t>
        </is>
      </c>
      <c r="B1" s="1" t="inlineStr">
        <is>
          <t>Name</t>
        </is>
      </c>
      <c r="C1" s="1" t="inlineStr">
        <is>
          <t>ShapeSides</t>
        </is>
      </c>
      <c r="D1" s="1" t="inlineStr">
        <is>
          <t>Label</t>
        </is>
      </c>
      <c r="E1" s="1" t="inlineStr">
        <is>
          <t>IsRectangle</t>
        </is>
      </c>
      <c r="F1" s="1" t="inlineStr">
        <is>
          <t>IsTriangle</t>
        </is>
      </c>
      <c r="G1" s="1" t="inlineStr">
        <is>
          <t>IsRightTriangle</t>
        </is>
      </c>
      <c r="H1" s="1" t="inlineStr">
        <is>
          <t>IsHypotenuse</t>
        </is>
      </c>
      <c r="I1" s="1" t="inlineStr">
        <is>
          <t>StatusOfTheorem</t>
        </is>
      </c>
      <c r="J1" s="1" t="inlineStr">
        <is>
          <t>PythagoreanTheoremHolds</t>
        </is>
      </c>
      <c r="K1" s="1" t="inlineStr">
        <is>
          <t>LengthSquared</t>
        </is>
      </c>
      <c r="L1" s="1" t="inlineStr">
        <is>
          <t>HypotenuseLengthSquared</t>
        </is>
      </c>
      <c r="M1" s="1" t="inlineStr">
        <is>
          <t>NonHypotenuseLengthSquared</t>
        </is>
      </c>
      <c r="N1" s="1" t="inlineStr">
        <is>
          <t>PreviousSideLength</t>
        </is>
      </c>
      <c r="O1" s="1" t="inlineStr">
        <is>
          <t>Length</t>
        </is>
      </c>
      <c r="P1" s="1" t="inlineStr">
        <is>
          <t>NextLength</t>
        </is>
      </c>
      <c r="Q1" s="1" t="inlineStr">
        <is>
          <t>PreviousAngle</t>
        </is>
      </c>
      <c r="R1" s="1" t="inlineStr">
        <is>
          <t>Angle</t>
        </is>
      </c>
      <c r="S1" s="1" t="inlineStr">
        <is>
          <t>NextAngle</t>
        </is>
      </c>
      <c r="T1" s="1" t="inlineStr">
        <is>
          <t>PreviousSide</t>
        </is>
      </c>
      <c r="U1" s="1" t="inlineStr">
        <is>
          <t>NextSide</t>
        </is>
      </c>
      <c r="V1" s="1" t="inlineStr">
        <is>
          <t>Shape</t>
        </is>
      </c>
      <c r="W1" s="1" t="inlineStr">
        <is>
          <t>PreviousLabel</t>
        </is>
      </c>
      <c r="X1" s="1" t="inlineStr">
        <is>
          <t>NextLabel</t>
        </is>
      </c>
    </row>
    <row r="2">
      <c r="A2" s="2" t="inlineStr">
        <is>
          <t>shape1-side-a</t>
        </is>
      </c>
      <c r="B2" s="3">
        <f>$V2 &amp; "-Side-" &amp; $D2</f>
        <v/>
      </c>
      <c r="C2" s="2" t="inlineStr">
        <is>
          <t>3</t>
        </is>
      </c>
      <c r="D2" s="2" t="inlineStr">
        <is>
          <t>A</t>
        </is>
      </c>
      <c r="E2" s="2" t="b">
        <v>0</v>
      </c>
      <c r="F2" s="2" t="inlineStr">
        <is>
          <t>True</t>
        </is>
      </c>
      <c r="G2" s="2" t="inlineStr">
        <is>
          <t>True</t>
        </is>
      </c>
      <c r="H2" s="3">
        <f>AND(
  $F2,
  $O2 &gt; $N2,
  $O2 &gt; $P2
)</f>
        <v/>
      </c>
      <c r="I2" s="3">
        <f>IF($F2, 
  IF(AND($G2, NOT($J2)), 
    "PYTHAGOREAN THEOREM FALSIFIED!", 
    "Pythagorean Theorem Holds (obviously)."
  ),
  "NA"
)</f>
        <v/>
      </c>
      <c r="J2" s="2" t="inlineStr">
        <is>
          <t>True</t>
        </is>
      </c>
      <c r="K2" s="3">
        <f>$O2 * $O2</f>
        <v/>
      </c>
      <c r="L2" s="3">
        <f>IF($H2, $K2)</f>
        <v/>
      </c>
      <c r="M2" s="3">
        <f>IF(AND(NOT($H2), $F2), $K2)</f>
        <v/>
      </c>
      <c r="N2" s="2" t="inlineStr">
        <is>
          <t>3</t>
        </is>
      </c>
      <c r="O2" s="2" t="n">
        <v>5</v>
      </c>
      <c r="P2" s="2" t="inlineStr">
        <is>
          <t>4</t>
        </is>
      </c>
      <c r="Q2" s="2" t="inlineStr">
        <is>
          <t>90</t>
        </is>
      </c>
      <c r="R2" s="2" t="n">
        <v>45</v>
      </c>
      <c r="S2" s="2" t="inlineStr">
        <is>
          <t>45</t>
        </is>
      </c>
      <c r="T2" s="2" t="inlineStr">
        <is>
          <t>shape1-side-c</t>
        </is>
      </c>
      <c r="U2" s="2" t="inlineStr">
        <is>
          <t>shape1-side-b</t>
        </is>
      </c>
      <c r="V2" s="2" t="inlineStr">
        <is>
          <t>shape1</t>
        </is>
      </c>
      <c r="W2" s="2" t="inlineStr">
        <is>
          <t>C</t>
        </is>
      </c>
      <c r="X2" s="2" t="inlineStr">
        <is>
          <t>B</t>
        </is>
      </c>
    </row>
    <row r="3">
      <c r="A3" s="2" t="inlineStr">
        <is>
          <t>shape1-side-b</t>
        </is>
      </c>
      <c r="B3" s="3">
        <f>$V3 &amp; "-Side-" &amp; $D3</f>
        <v/>
      </c>
      <c r="C3" s="2" t="inlineStr">
        <is>
          <t>3</t>
        </is>
      </c>
      <c r="D3" s="2" t="inlineStr">
        <is>
          <t>B</t>
        </is>
      </c>
      <c r="E3" s="2" t="b">
        <v>0</v>
      </c>
      <c r="F3" s="2" t="inlineStr">
        <is>
          <t>True</t>
        </is>
      </c>
      <c r="G3" s="2" t="inlineStr">
        <is>
          <t>True</t>
        </is>
      </c>
      <c r="H3" s="3">
        <f>AND(
  $F3,
  $O3 &gt; $N3,
  $O3 &gt; $P3
)</f>
        <v/>
      </c>
      <c r="I3" s="3">
        <f>IF($F3, 
  IF(AND($G3, NOT($J3)), 
    "PYTHAGOREAN THEOREM FALSIFIED!", 
    "Pythagorean Theorem Holds (obviously)."
  ),
  "NA"
)</f>
        <v/>
      </c>
      <c r="J3" s="2" t="inlineStr">
        <is>
          <t>True</t>
        </is>
      </c>
      <c r="K3" s="3">
        <f>$O3 * $O3</f>
        <v/>
      </c>
      <c r="L3" s="3">
        <f>IF($H3, $K3)</f>
        <v/>
      </c>
      <c r="M3" s="3">
        <f>IF(AND(NOT($H3), $F3), $K3)</f>
        <v/>
      </c>
      <c r="N3" s="2" t="inlineStr">
        <is>
          <t>5</t>
        </is>
      </c>
      <c r="O3" s="2" t="n">
        <v>4</v>
      </c>
      <c r="P3" s="2" t="inlineStr">
        <is>
          <t>3</t>
        </is>
      </c>
      <c r="Q3" s="2" t="inlineStr">
        <is>
          <t>45</t>
        </is>
      </c>
      <c r="R3" s="2" t="n">
        <v>45</v>
      </c>
      <c r="S3" s="2" t="inlineStr">
        <is>
          <t>90</t>
        </is>
      </c>
      <c r="T3" s="2" t="inlineStr">
        <is>
          <t>shape1-side-a</t>
        </is>
      </c>
      <c r="U3" s="2" t="inlineStr">
        <is>
          <t>shape1-side-c</t>
        </is>
      </c>
      <c r="V3" s="2" t="inlineStr">
        <is>
          <t>shape1</t>
        </is>
      </c>
      <c r="W3" s="2" t="inlineStr">
        <is>
          <t>A</t>
        </is>
      </c>
      <c r="X3" s="2" t="inlineStr">
        <is>
          <t>C</t>
        </is>
      </c>
    </row>
    <row r="4">
      <c r="A4" s="2" t="inlineStr">
        <is>
          <t>shape1-side-c</t>
        </is>
      </c>
      <c r="B4" s="3">
        <f>$V4 &amp; "-Side-" &amp; $D4</f>
        <v/>
      </c>
      <c r="C4" s="2" t="inlineStr">
        <is>
          <t>3</t>
        </is>
      </c>
      <c r="D4" s="2" t="inlineStr">
        <is>
          <t>C</t>
        </is>
      </c>
      <c r="E4" s="2" t="b">
        <v>0</v>
      </c>
      <c r="F4" s="2" t="inlineStr">
        <is>
          <t>True</t>
        </is>
      </c>
      <c r="G4" s="2" t="inlineStr">
        <is>
          <t>True</t>
        </is>
      </c>
      <c r="H4" s="3">
        <f>AND(
  $F4,
  $O4 &gt; $N4,
  $O4 &gt; $P4
)</f>
        <v/>
      </c>
      <c r="I4" s="3">
        <f>IF($F4, 
  IF(AND($G4, NOT($J4)), 
    "PYTHAGOREAN THEOREM FALSIFIED!", 
    "Pythagorean Theorem Holds (obviously)."
  ),
  "NA"
)</f>
        <v/>
      </c>
      <c r="J4" s="2" t="inlineStr">
        <is>
          <t>True</t>
        </is>
      </c>
      <c r="K4" s="3">
        <f>$O4 * $O4</f>
        <v/>
      </c>
      <c r="L4" s="3">
        <f>IF($H4, $K4)</f>
        <v/>
      </c>
      <c r="M4" s="3">
        <f>IF(AND(NOT($H4), $F4), $K4)</f>
        <v/>
      </c>
      <c r="N4" s="2" t="inlineStr">
        <is>
          <t>4</t>
        </is>
      </c>
      <c r="O4" s="2" t="n">
        <v>3</v>
      </c>
      <c r="P4" s="2" t="inlineStr">
        <is>
          <t>5</t>
        </is>
      </c>
      <c r="Q4" s="2" t="inlineStr">
        <is>
          <t>45</t>
        </is>
      </c>
      <c r="R4" s="2" t="n">
        <v>90</v>
      </c>
      <c r="S4" s="2" t="inlineStr">
        <is>
          <t>45</t>
        </is>
      </c>
      <c r="T4" s="2" t="inlineStr">
        <is>
          <t>shape1-side-b</t>
        </is>
      </c>
      <c r="U4" s="2" t="inlineStr">
        <is>
          <t>shape1-side-a</t>
        </is>
      </c>
      <c r="V4" s="2" t="inlineStr">
        <is>
          <t>shape1</t>
        </is>
      </c>
      <c r="W4" s="2" t="inlineStr">
        <is>
          <t>B</t>
        </is>
      </c>
      <c r="X4" s="2" t="inlineStr">
        <is>
          <t>A</t>
        </is>
      </c>
    </row>
    <row r="5">
      <c r="A5" s="2" t="inlineStr">
        <is>
          <t>shape2-side-a</t>
        </is>
      </c>
      <c r="B5" s="3">
        <f>$V5 &amp; "-Side-" &amp; $D5</f>
        <v/>
      </c>
      <c r="C5" s="2" t="inlineStr">
        <is>
          <t>4</t>
        </is>
      </c>
      <c r="D5" s="2" t="inlineStr">
        <is>
          <t>A</t>
        </is>
      </c>
      <c r="E5" s="2" t="inlineStr">
        <is>
          <t>True</t>
        </is>
      </c>
      <c r="F5" s="2" t="b">
        <v>0</v>
      </c>
      <c r="G5" s="2" t="b">
        <v>0</v>
      </c>
      <c r="H5" s="3">
        <f>AND(
  $F5,
  $O5 &gt; $N5,
  $O5 &gt; $P5
)</f>
        <v/>
      </c>
      <c r="I5" s="3">
        <f>IF($F5, 
  IF(AND($G5, NOT($J5)), 
    "PYTHAGOREAN THEOREM FALSIFIED!", 
    "Pythagorean Theorem Holds (obviously)."
  ),
  "NA"
)</f>
        <v/>
      </c>
      <c r="J5" s="2" t="b">
        <v>0</v>
      </c>
      <c r="K5" s="3">
        <f>$O5 * $O5</f>
        <v/>
      </c>
      <c r="L5" s="3">
        <f>IF($H5, $K5)</f>
        <v/>
      </c>
      <c r="M5" s="3">
        <f>IF(AND(NOT($H5), $F5), $K5)</f>
        <v/>
      </c>
      <c r="N5" s="2" t="inlineStr">
        <is>
          <t>2</t>
        </is>
      </c>
      <c r="O5" s="2" t="n">
        <v>2</v>
      </c>
      <c r="P5" s="2" t="inlineStr">
        <is>
          <t>2</t>
        </is>
      </c>
      <c r="Q5" s="2" t="inlineStr">
        <is>
          <t>90</t>
        </is>
      </c>
      <c r="R5" s="2" t="n">
        <v>90</v>
      </c>
      <c r="S5" s="2" t="inlineStr">
        <is>
          <t>90</t>
        </is>
      </c>
      <c r="T5" s="2" t="inlineStr">
        <is>
          <t>shape2-side-d</t>
        </is>
      </c>
      <c r="U5" s="2" t="inlineStr">
        <is>
          <t>shape2-side-b</t>
        </is>
      </c>
      <c r="V5" s="2" t="inlineStr">
        <is>
          <t>shape2</t>
        </is>
      </c>
      <c r="W5" s="2" t="inlineStr">
        <is>
          <t>D</t>
        </is>
      </c>
      <c r="X5" s="2" t="inlineStr">
        <is>
          <t>B</t>
        </is>
      </c>
    </row>
    <row r="6">
      <c r="A6" s="2" t="inlineStr">
        <is>
          <t>shape2-side-b</t>
        </is>
      </c>
      <c r="B6" s="3">
        <f>$V6 &amp; "-Side-" &amp; $D6</f>
        <v/>
      </c>
      <c r="C6" s="2" t="inlineStr">
        <is>
          <t>4</t>
        </is>
      </c>
      <c r="D6" s="2" t="inlineStr">
        <is>
          <t>B</t>
        </is>
      </c>
      <c r="E6" s="2" t="inlineStr">
        <is>
          <t>True</t>
        </is>
      </c>
      <c r="F6" s="2" t="b">
        <v>0</v>
      </c>
      <c r="G6" s="2" t="b">
        <v>0</v>
      </c>
      <c r="H6" s="3">
        <f>AND(
  $F6,
  $O6 &gt; $N6,
  $O6 &gt; $P6
)</f>
        <v/>
      </c>
      <c r="I6" s="3">
        <f>IF($F6, 
  IF(AND($G6, NOT($J6)), 
    "PYTHAGOREAN THEOREM FALSIFIED!", 
    "Pythagorean Theorem Holds (obviously)."
  ),
  "NA"
)</f>
        <v/>
      </c>
      <c r="J6" s="2" t="b">
        <v>0</v>
      </c>
      <c r="K6" s="3">
        <f>$O6 * $O6</f>
        <v/>
      </c>
      <c r="L6" s="3">
        <f>IF($H6, $K6)</f>
        <v/>
      </c>
      <c r="M6" s="3">
        <f>IF(AND(NOT($H6), $F6), $K6)</f>
        <v/>
      </c>
      <c r="N6" s="2" t="inlineStr">
        <is>
          <t>2</t>
        </is>
      </c>
      <c r="O6" s="2" t="n">
        <v>2</v>
      </c>
      <c r="P6" s="2" t="inlineStr">
        <is>
          <t>2</t>
        </is>
      </c>
      <c r="Q6" s="2" t="inlineStr">
        <is>
          <t>90</t>
        </is>
      </c>
      <c r="R6" s="2" t="n">
        <v>90</v>
      </c>
      <c r="S6" s="2" t="inlineStr">
        <is>
          <t>90</t>
        </is>
      </c>
      <c r="T6" s="2" t="inlineStr">
        <is>
          <t>shape2-side-a</t>
        </is>
      </c>
      <c r="U6" s="2" t="inlineStr">
        <is>
          <t>shape2-side-c</t>
        </is>
      </c>
      <c r="V6" s="2" t="inlineStr">
        <is>
          <t>shape2</t>
        </is>
      </c>
      <c r="W6" s="2" t="inlineStr">
        <is>
          <t>A</t>
        </is>
      </c>
      <c r="X6" s="2" t="inlineStr">
        <is>
          <t>C</t>
        </is>
      </c>
    </row>
    <row r="7">
      <c r="A7" s="2" t="inlineStr">
        <is>
          <t>shape2-side-c</t>
        </is>
      </c>
      <c r="B7" s="3">
        <f>$V7 &amp; "-Side-" &amp; $D7</f>
        <v/>
      </c>
      <c r="C7" s="2" t="inlineStr">
        <is>
          <t>4</t>
        </is>
      </c>
      <c r="D7" s="2" t="inlineStr">
        <is>
          <t>C</t>
        </is>
      </c>
      <c r="E7" s="2" t="inlineStr">
        <is>
          <t>True</t>
        </is>
      </c>
      <c r="F7" s="2" t="b">
        <v>0</v>
      </c>
      <c r="G7" s="2" t="b">
        <v>0</v>
      </c>
      <c r="H7" s="3">
        <f>AND(
  $F7,
  $O7 &gt; $N7,
  $O7 &gt; $P7
)</f>
        <v/>
      </c>
      <c r="I7" s="3">
        <f>IF($F7, 
  IF(AND($G7, NOT($J7)), 
    "PYTHAGOREAN THEOREM FALSIFIED!", 
    "Pythagorean Theorem Holds (obviously)."
  ),
  "NA"
)</f>
        <v/>
      </c>
      <c r="J7" s="2" t="b">
        <v>0</v>
      </c>
      <c r="K7" s="3">
        <f>$O7 * $O7</f>
        <v/>
      </c>
      <c r="L7" s="3">
        <f>IF($H7, $K7)</f>
        <v/>
      </c>
      <c r="M7" s="3">
        <f>IF(AND(NOT($H7), $F7), $K7)</f>
        <v/>
      </c>
      <c r="N7" s="2" t="inlineStr">
        <is>
          <t>2</t>
        </is>
      </c>
      <c r="O7" s="2" t="n">
        <v>2</v>
      </c>
      <c r="P7" s="2" t="inlineStr">
        <is>
          <t>2</t>
        </is>
      </c>
      <c r="Q7" s="2" t="inlineStr">
        <is>
          <t>90</t>
        </is>
      </c>
      <c r="R7" s="2" t="n">
        <v>90</v>
      </c>
      <c r="S7" s="2" t="inlineStr">
        <is>
          <t>90</t>
        </is>
      </c>
      <c r="T7" s="2" t="inlineStr">
        <is>
          <t>shape2-side-b</t>
        </is>
      </c>
      <c r="U7" s="2" t="inlineStr">
        <is>
          <t>shape2-side-d</t>
        </is>
      </c>
      <c r="V7" s="2" t="inlineStr">
        <is>
          <t>shape2</t>
        </is>
      </c>
      <c r="W7" s="2" t="inlineStr">
        <is>
          <t>B</t>
        </is>
      </c>
      <c r="X7" s="2" t="inlineStr">
        <is>
          <t>D</t>
        </is>
      </c>
    </row>
    <row r="8">
      <c r="A8" s="2" t="inlineStr">
        <is>
          <t>shape2-side-d</t>
        </is>
      </c>
      <c r="B8" s="3">
        <f>$V8 &amp; "-Side-" &amp; $D8</f>
        <v/>
      </c>
      <c r="C8" s="2" t="inlineStr">
        <is>
          <t>4</t>
        </is>
      </c>
      <c r="D8" s="2" t="inlineStr">
        <is>
          <t>D</t>
        </is>
      </c>
      <c r="E8" s="2" t="inlineStr">
        <is>
          <t>True</t>
        </is>
      </c>
      <c r="F8" s="2" t="b">
        <v>0</v>
      </c>
      <c r="G8" s="2" t="b">
        <v>0</v>
      </c>
      <c r="H8" s="3">
        <f>AND(
  $F8,
  $O8 &gt; $N8,
  $O8 &gt; $P8
)</f>
        <v/>
      </c>
      <c r="I8" s="3">
        <f>IF($F8, 
  IF(AND($G8, NOT($J8)), 
    "PYTHAGOREAN THEOREM FALSIFIED!", 
    "Pythagorean Theorem Holds (obviously)."
  ),
  "NA"
)</f>
        <v/>
      </c>
      <c r="J8" s="2" t="b">
        <v>0</v>
      </c>
      <c r="K8" s="3">
        <f>$O8 * $O8</f>
        <v/>
      </c>
      <c r="L8" s="3">
        <f>IF($H8, $K8)</f>
        <v/>
      </c>
      <c r="M8" s="3">
        <f>IF(AND(NOT($H8), $F8), $K8)</f>
        <v/>
      </c>
      <c r="N8" s="2" t="inlineStr">
        <is>
          <t>2</t>
        </is>
      </c>
      <c r="O8" s="2" t="n">
        <v>2</v>
      </c>
      <c r="P8" s="2" t="inlineStr">
        <is>
          <t>2</t>
        </is>
      </c>
      <c r="Q8" s="2" t="inlineStr">
        <is>
          <t>90</t>
        </is>
      </c>
      <c r="R8" s="2" t="n">
        <v>90</v>
      </c>
      <c r="S8" s="2" t="inlineStr">
        <is>
          <t>90</t>
        </is>
      </c>
      <c r="T8" s="2" t="inlineStr">
        <is>
          <t>shape2-side-c</t>
        </is>
      </c>
      <c r="U8" s="2" t="inlineStr">
        <is>
          <t>shape2-side-a</t>
        </is>
      </c>
      <c r="V8" s="2" t="inlineStr">
        <is>
          <t>shape2</t>
        </is>
      </c>
      <c r="W8" s="2" t="inlineStr">
        <is>
          <t>C</t>
        </is>
      </c>
      <c r="X8" s="2" t="inlineStr">
        <is>
          <t>A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9" customWidth="1" min="4" max="4"/>
    <col width="27" customWidth="1" min="5" max="5"/>
    <col width="19" customWidth="1" min="6" max="6"/>
    <col width="12" customWidth="1" min="7" max="7"/>
  </cols>
  <sheetData>
    <row r="1">
      <c r="A1" s="1" t="inlineStr">
        <is>
          <t>WidgetId</t>
        </is>
      </c>
      <c r="B1" s="1" t="inlineStr">
        <is>
          <t>Name</t>
        </is>
      </c>
      <c r="C1" s="1" t="inlineStr">
        <is>
          <t>Appuser</t>
        </is>
      </c>
      <c r="D1" s="1" t="inlineStr">
        <is>
          <t>Name_from_Appuser</t>
        </is>
      </c>
      <c r="E1" s="1" t="inlineStr">
        <is>
          <t>EmailAddress_from_Appuser</t>
        </is>
      </c>
      <c r="F1" s="1" t="inlineStr">
        <is>
          <t>Role_from_Appuser</t>
        </is>
      </c>
      <c r="G1" s="1" t="inlineStr">
        <is>
          <t>Color</t>
        </is>
      </c>
    </row>
    <row r="2">
      <c r="A2" s="2" t="inlineStr">
        <is>
          <t>widget1</t>
        </is>
      </c>
      <c r="B2" s="2" t="inlineStr">
        <is>
          <t>widget1</t>
        </is>
      </c>
      <c r="C2" s="2" t="inlineStr">
        <is>
          <t>bob</t>
        </is>
      </c>
      <c r="D2" s="2" t="inlineStr">
        <is>
          <t>Bob</t>
        </is>
      </c>
      <c r="E2" s="2" t="inlineStr">
        <is>
          <t>bob@ssot.me</t>
        </is>
      </c>
      <c r="F2" s="2" t="inlineStr">
        <is>
          <t>Mathemetician</t>
        </is>
      </c>
      <c r="G2" s="2" t="inlineStr">
        <is>
          <t>Blue</t>
        </is>
      </c>
    </row>
    <row r="3">
      <c r="A3" s="2" t="inlineStr">
        <is>
          <t>widget2</t>
        </is>
      </c>
      <c r="B3" s="2" t="inlineStr">
        <is>
          <t>widget2</t>
        </is>
      </c>
      <c r="C3" s="2" t="inlineStr">
        <is>
          <t>bob</t>
        </is>
      </c>
      <c r="D3" s="2" t="inlineStr">
        <is>
          <t>Bob</t>
        </is>
      </c>
      <c r="E3" s="2" t="inlineStr">
        <is>
          <t>bob@ssot.me</t>
        </is>
      </c>
      <c r="F3" s="2" t="inlineStr">
        <is>
          <t>Mathemetician</t>
        </is>
      </c>
      <c r="G3" s="2" t="inlineStr">
        <is>
          <t>pink</t>
        </is>
      </c>
    </row>
    <row r="4">
      <c r="A4" s="2" t="inlineStr">
        <is>
          <t>widget3</t>
        </is>
      </c>
      <c r="B4" s="2" t="inlineStr">
        <is>
          <t>widget3</t>
        </is>
      </c>
      <c r="C4" s="2" t="inlineStr">
        <is>
          <t>andy</t>
        </is>
      </c>
      <c r="D4" s="2" t="inlineStr">
        <is>
          <t>Andy</t>
        </is>
      </c>
      <c r="E4" s="2" t="inlineStr">
        <is>
          <t>guest@ssot.me</t>
        </is>
      </c>
      <c r="F4" s="2" t="inlineStr">
        <is>
          <t>Guest</t>
        </is>
      </c>
      <c r="G4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</cols>
  <sheetData>
    <row r="1">
      <c r="A1" s="1" t="inlineStr">
        <is>
          <t>ERBVersionId</t>
        </is>
      </c>
      <c r="B1" s="1" t="inlineStr">
        <is>
          <t>PK</t>
        </is>
      </c>
      <c r="C1" s="1" t="inlineStr">
        <is>
          <t>BaseId</t>
        </is>
      </c>
      <c r="D1" s="1" t="inlineStr">
        <is>
          <t>Name</t>
        </is>
      </c>
      <c r="E1" s="1" t="inlineStr">
        <is>
          <t>Message</t>
        </is>
      </c>
      <c r="F1" s="1" t="inlineStr">
        <is>
          <t>Notes</t>
        </is>
      </c>
      <c r="G1" s="1" t="inlineStr">
        <is>
          <t>CommitDate</t>
        </is>
      </c>
      <c r="H1" s="1" t="inlineStr">
        <is>
          <t>IsPublished</t>
        </is>
      </c>
    </row>
    <row r="2">
      <c r="A2" s="2" t="inlineStr">
        <is>
          <t>b0e261e6-9ded-4ed0-817a-12a82a538201-version-2026-02-06-22-18-34</t>
        </is>
      </c>
      <c r="B2" s="3">
        <f>$C2 &amp; "-" &amp; $D2</f>
        <v/>
      </c>
      <c r="C2" s="2" t="inlineStr">
        <is>
          <t>b0e261e6-9ded-4ed0-817a-12a82a538201</t>
        </is>
      </c>
      <c r="D2" s="2" t="inlineStr">
        <is>
          <t>Version 2026-02-06 22:18:34</t>
        </is>
      </c>
      <c r="E2" s="2" t="inlineStr">
        <is>
          <t>fixed custom RLS policies.</t>
        </is>
      </c>
      <c r="F2" s="2" t="inlineStr"/>
      <c r="G2" s="2" t="inlineStr">
        <is>
          <t>2026-02-06</t>
        </is>
      </c>
      <c r="H2" s="2" t="b">
        <v>0</v>
      </c>
    </row>
    <row r="3">
      <c r="A3" s="2" t="inlineStr">
        <is>
          <t>b0e261e6-9ded-4ed0-817a-12a82a538201-version-2026-02-07-01-50-20</t>
        </is>
      </c>
      <c r="B3" s="3">
        <f>$C3 &amp; "-" &amp; $D3</f>
        <v/>
      </c>
      <c r="C3" s="2" t="inlineStr">
        <is>
          <t>b0e261e6-9ded-4ed0-817a-12a82a538201</t>
        </is>
      </c>
      <c r="D3" s="2" t="inlineStr">
        <is>
          <t>Version 2026-02-07 01:50:20</t>
        </is>
      </c>
      <c r="E3" s="2" t="inlineStr">
        <is>
          <t>Trying to get data in as well.</t>
        </is>
      </c>
      <c r="F3" s="2" t="inlineStr"/>
      <c r="G3" s="2" t="inlineStr">
        <is>
          <t>2026-02-07</t>
        </is>
      </c>
      <c r="H3" s="2" t="b">
        <v>0</v>
      </c>
    </row>
    <row r="4">
      <c r="A4" s="2" t="inlineStr">
        <is>
          <t>b0e261e6-9ded-4ed0-817a-12a82a538201-version-2026-02-07-01-54-24</t>
        </is>
      </c>
      <c r="B4" s="3">
        <f>$C4 &amp; "-" &amp; $D4</f>
        <v/>
      </c>
      <c r="C4" s="2" t="inlineStr">
        <is>
          <t>b0e261e6-9ded-4ed0-817a-12a82a538201</t>
        </is>
      </c>
      <c r="D4" s="2" t="inlineStr">
        <is>
          <t>Version 2026-02-07 01:54:24</t>
        </is>
      </c>
      <c r="E4" s="2" t="inlineStr">
        <is>
          <t>Updated base again.</t>
        </is>
      </c>
      <c r="F4" s="2" t="inlineStr"/>
      <c r="G4" s="2" t="inlineStr">
        <is>
          <t>2026-02-07</t>
        </is>
      </c>
      <c r="H4" s="2" t="b">
        <v>0</v>
      </c>
    </row>
    <row r="5">
      <c r="A5" s="2" t="inlineStr">
        <is>
          <t>e7b6e278-92b8-4a76-a3bf-d2b1183d1c77-version-2026-02-07-02-00-40</t>
        </is>
      </c>
      <c r="B5" s="3">
        <f>$C5 &amp; "-" &amp; $D5</f>
        <v/>
      </c>
      <c r="C5" s="2" t="inlineStr">
        <is>
          <t>e7b6e278-92b8-4a76-a3bf-d2b1183d1c77</t>
        </is>
      </c>
      <c r="D5" s="2" t="inlineStr">
        <is>
          <t>Version 2026-02-07 02:00:40</t>
        </is>
      </c>
      <c r="E5" s="2" t="inlineStr">
        <is>
          <t>Trying to get data in the db.</t>
        </is>
      </c>
      <c r="F5" s="2" t="inlineStr"/>
      <c r="G5" s="2" t="inlineStr">
        <is>
          <t>2026-02-07</t>
        </is>
      </c>
      <c r="H5" s="2" t="b">
        <v>0</v>
      </c>
    </row>
    <row r="6">
      <c r="A6" s="2" t="inlineStr">
        <is>
          <t>e7b6e278-92b8-4a76-a3bf-d2b1183d1c77-version-2026-02-07-02-18-06</t>
        </is>
      </c>
      <c r="B6" s="3">
        <f>$C6 &amp; "-" &amp; $D6</f>
        <v/>
      </c>
      <c r="C6" s="2" t="inlineStr">
        <is>
          <t>e7b6e278-92b8-4a76-a3bf-d2b1183d1c77</t>
        </is>
      </c>
      <c r="D6" s="2" t="inlineStr">
        <is>
          <t>Version 2026-02-07 02:18:06</t>
        </is>
      </c>
      <c r="E6" s="2" t="inlineStr">
        <is>
          <t>Added app users.</t>
        </is>
      </c>
      <c r="F6" s="2" t="inlineStr"/>
      <c r="G6" s="2" t="inlineStr">
        <is>
          <t>2026-02-07</t>
        </is>
      </c>
      <c r="H6" s="2" t="b">
        <v>0</v>
      </c>
    </row>
    <row r="7">
      <c r="A7" s="2" t="inlineStr">
        <is>
          <t>e7b6e278-92b8-4a76-a3bf-d2b1183d1c77-version-2026-02-07-02-27-57</t>
        </is>
      </c>
      <c r="B7" s="3">
        <f>$C7 &amp; "-" &amp; $D7</f>
        <v/>
      </c>
      <c r="C7" s="2" t="inlineStr">
        <is>
          <t>e7b6e278-92b8-4a76-a3bf-d2b1183d1c77</t>
        </is>
      </c>
      <c r="D7" s="2" t="inlineStr">
        <is>
          <t>Version 2026-02-07 02:27:57</t>
        </is>
      </c>
      <c r="E7" s="2" t="inlineStr">
        <is>
          <t>Added AppUsers.IsActive</t>
        </is>
      </c>
      <c r="F7" s="2" t="inlineStr"/>
      <c r="G7" s="2" t="inlineStr">
        <is>
          <t>2026-02-07</t>
        </is>
      </c>
      <c r="H7" s="2" t="b">
        <v>0</v>
      </c>
    </row>
    <row r="8">
      <c r="A8" s="2" t="inlineStr">
        <is>
          <t>e7b6e278-92b8-4a76-a3bf-d2b1183d1c77-version-2026-02-07-22-46-12</t>
        </is>
      </c>
      <c r="B8" s="3">
        <f>$C8 &amp; "-" &amp; $D8</f>
        <v/>
      </c>
      <c r="C8" s="2" t="inlineStr">
        <is>
          <t>e7b6e278-92b8-4a76-a3bf-d2b1183d1c77</t>
        </is>
      </c>
      <c r="D8" s="2" t="inlineStr">
        <is>
          <t>Version 2026-02-07 22:46:12</t>
        </is>
      </c>
      <c r="E8" s="2" t="inlineStr">
        <is>
          <t>trying new admin/anon users.</t>
        </is>
      </c>
      <c r="F8" s="2" t="inlineStr"/>
      <c r="G8" s="2" t="inlineStr">
        <is>
          <t>2026-02-07</t>
        </is>
      </c>
      <c r="H8" s="2" t="b">
        <v>0</v>
      </c>
    </row>
    <row r="9">
      <c r="A9" s="2" t="inlineStr">
        <is>
          <t>e7b6e278-92b8-4a76-a3bf-d2b1183d1c77-version-2026-02-07-22-47-11</t>
        </is>
      </c>
      <c r="B9" s="3">
        <f>$C9 &amp; "-" &amp; $D9</f>
        <v/>
      </c>
      <c r="C9" s="2" t="inlineStr">
        <is>
          <t>e7b6e278-92b8-4a76-a3bf-d2b1183d1c77</t>
        </is>
      </c>
      <c r="D9" s="2" t="inlineStr">
        <is>
          <t>Version 2026-02-07 22:47:11</t>
        </is>
      </c>
      <c r="E9" s="2" t="inlineStr">
        <is>
          <t>added admin/anon users.</t>
        </is>
      </c>
      <c r="F9" s="2" t="inlineStr"/>
      <c r="G9" s="2" t="inlineStr">
        <is>
          <t>2026-02-07</t>
        </is>
      </c>
      <c r="H9" s="2" t="b">
        <v>0</v>
      </c>
    </row>
    <row r="10">
      <c r="A10" s="2" t="inlineStr">
        <is>
          <t>f4cefffd-29c7-4dc6-8b5b-2142c62a475c-version-2026-02-08-03-55-18</t>
        </is>
      </c>
      <c r="B10" s="3">
        <f>$C10 &amp; "-" &amp; $D10</f>
        <v/>
      </c>
      <c r="C10" s="2" t="inlineStr">
        <is>
          <t>f4cefffd-29c7-4dc6-8b5b-2142c62a475c</t>
        </is>
      </c>
      <c r="D10" s="2" t="inlineStr">
        <is>
          <t>Version 2026-02-08 03:55:18</t>
        </is>
      </c>
      <c r="E10" s="2" t="inlineStr">
        <is>
          <t>fixing auth</t>
        </is>
      </c>
      <c r="F10" s="2" t="inlineStr"/>
      <c r="G10" s="2" t="inlineStr">
        <is>
          <t>2026-02-08</t>
        </is>
      </c>
      <c r="H10" s="2" t="b">
        <v>0</v>
      </c>
    </row>
    <row r="11">
      <c r="A11" s="2" t="inlineStr">
        <is>
          <t>f4cefffd-29c7-4dc6-8b5b-2142c62a475c-version-2026-02-09-06-07-44</t>
        </is>
      </c>
      <c r="B11" s="3">
        <f>$C11 &amp; "-" &amp; $D11</f>
        <v/>
      </c>
      <c r="C11" s="2" t="inlineStr">
        <is>
          <t>f4cefffd-29c7-4dc6-8b5b-2142c62a475c</t>
        </is>
      </c>
      <c r="D11" s="2" t="inlineStr">
        <is>
          <t>Version 2026-02-09 06:07:44</t>
        </is>
      </c>
      <c r="E11" s="2" t="inlineStr">
        <is>
          <t>temp 4</t>
        </is>
      </c>
      <c r="F11" s="2" t="inlineStr"/>
      <c r="G11" s="2" t="inlineStr">
        <is>
          <t>2026-02-09</t>
        </is>
      </c>
      <c r="H11" s="2" t="b">
        <v>0</v>
      </c>
    </row>
    <row r="12">
      <c r="A12" s="2" t="inlineStr">
        <is>
          <t>f4cefffd-29c7-4dc6-8b5b-2142c62a475c-version-2026-02-09-06-14-38</t>
        </is>
      </c>
      <c r="B12" s="3">
        <f>$C12 &amp; "-" &amp; $D12</f>
        <v/>
      </c>
      <c r="C12" s="2" t="inlineStr">
        <is>
          <t>f4cefffd-29c7-4dc6-8b5b-2142c62a475c</t>
        </is>
      </c>
      <c r="D12" s="2" t="inlineStr">
        <is>
          <t>Version 2026-02-09 06:14:38</t>
        </is>
      </c>
      <c r="E12" s="2" t="inlineStr">
        <is>
          <t>added ownership records to widgets</t>
        </is>
      </c>
      <c r="F12" s="2" t="inlineStr"/>
      <c r="G12" s="2" t="inlineStr">
        <is>
          <t>2026-02-09</t>
        </is>
      </c>
      <c r="H12" s="2" t="b">
        <v>0</v>
      </c>
    </row>
    <row r="13">
      <c r="A13" s="2" t="inlineStr">
        <is>
          <t>f4cefffd-29c7-4dc6-8b5b-2142c62a475c-version-2026-02-09-07-22-15</t>
        </is>
      </c>
      <c r="B13" s="3">
        <f>$C13 &amp; "-" &amp; $D13</f>
        <v/>
      </c>
      <c r="C13" s="2" t="inlineStr">
        <is>
          <t>f4cefffd-29c7-4dc6-8b5b-2142c62a475c</t>
        </is>
      </c>
      <c r="D13" s="2" t="inlineStr">
        <is>
          <t>Version 2026-02-09 07:22:15</t>
        </is>
      </c>
      <c r="E13" s="2" t="inlineStr">
        <is>
          <t>test preserving builders</t>
        </is>
      </c>
      <c r="F13" s="2" t="inlineStr"/>
      <c r="G13" s="2" t="inlineStr">
        <is>
          <t>2026-02-09</t>
        </is>
      </c>
      <c r="H13" s="2" t="b">
        <v>0</v>
      </c>
    </row>
    <row r="14">
      <c r="A14" s="2" t="inlineStr">
        <is>
          <t>f4cefffd-29c7-4dc6-8b5b-2142c62a475c-version-2026-02-09-07-41-26</t>
        </is>
      </c>
      <c r="B14" s="3">
        <f>$C14 &amp; "-" &amp; $D14</f>
        <v/>
      </c>
      <c r="C14" s="2" t="inlineStr">
        <is>
          <t>f4cefffd-29c7-4dc6-8b5b-2142c62a475c</t>
        </is>
      </c>
      <c r="D14" s="2" t="inlineStr">
        <is>
          <t>Version 2026-02-09 07:41:26</t>
        </is>
      </c>
      <c r="E14" s="2" t="inlineStr">
        <is>
          <t>preserves policies now?</t>
        </is>
      </c>
      <c r="F14" s="2" t="inlineStr"/>
      <c r="G14" s="2" t="inlineStr">
        <is>
          <t>2026-02-09</t>
        </is>
      </c>
      <c r="H14" s="2" t="b">
        <v>0</v>
      </c>
    </row>
    <row r="15">
      <c r="A15" s="2" t="inlineStr">
        <is>
          <t>f4cefffd-29c7-4dc6-8b5b-2142c62a475c-version-2026-02-09-07-46-04</t>
        </is>
      </c>
      <c r="B15" s="3">
        <f>$C15 &amp; "-" &amp; $D15</f>
        <v/>
      </c>
      <c r="C15" s="2" t="inlineStr">
        <is>
          <t>f4cefffd-29c7-4dc6-8b5b-2142c62a475c</t>
        </is>
      </c>
      <c r="D15" s="2" t="inlineStr">
        <is>
          <t>Version 2026-02-09 07:46:04</t>
        </is>
      </c>
      <c r="E15" s="2" t="inlineStr">
        <is>
          <t>added color to widgets</t>
        </is>
      </c>
      <c r="F15" s="2" t="inlineStr"/>
      <c r="G15" s="2" t="inlineStr">
        <is>
          <t>2026-02-09</t>
        </is>
      </c>
      <c r="H15" s="2" t="b">
        <v>0</v>
      </c>
    </row>
    <row r="16">
      <c r="A16" s="2" t="inlineStr">
        <is>
          <t>f4cefffd-29c7-4dc6-8b5b-2142c62a475c-version-2026-02-11-00-40-18</t>
        </is>
      </c>
      <c r="B16" s="3">
        <f>$C16 &amp; "-" &amp; $D16</f>
        <v/>
      </c>
      <c r="C16" s="2" t="inlineStr">
        <is>
          <t>f4cefffd-29c7-4dc6-8b5b-2142c62a475c</t>
        </is>
      </c>
      <c r="D16" s="2" t="inlineStr">
        <is>
          <t>Version 2026-02-11 00:40:18</t>
        </is>
      </c>
      <c r="E16" s="2" t="inlineStr">
        <is>
          <t>added another b ob.</t>
        </is>
      </c>
      <c r="F16" s="2" t="inlineStr"/>
      <c r="G16" s="2" t="inlineStr">
        <is>
          <t>2026-02-11</t>
        </is>
      </c>
      <c r="H16" s="2" t="b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</cols>
  <sheetData>
    <row r="1">
      <c r="A1" s="1" t="inlineStr">
        <is>
          <t>ERBCustomizationId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SQLCode</t>
        </is>
      </c>
      <c r="E1" s="1" t="inlineStr">
        <is>
          <t>SQLTarget</t>
        </is>
      </c>
      <c r="F1" s="1" t="inlineStr">
        <is>
          <t>CustomizationType</t>
        </is>
      </c>
    </row>
    <row r="2">
      <c r="A2" s="2" t="inlineStr">
        <is>
          <t>03a-customize-schema-sql</t>
        </is>
      </c>
      <c r="B2" s="2" t="inlineStr">
        <is>
          <t>03a-customize-schema.sql</t>
        </is>
      </c>
      <c r="C2" s="2" t="inlineStr">
        <is>
          <t>Customize Schema</t>
        </is>
      </c>
      <c r="D2" s="2" t="inlineStr">
        <is>
      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      </is>
      </c>
      <c r="E2" s="2" t="inlineStr">
        <is>
          <t>Postgres</t>
        </is>
      </c>
      <c r="F2" s="2" t="inlineStr">
        <is>
          <t>Schema</t>
        </is>
      </c>
    </row>
    <row r="3">
      <c r="A3" s="2" t="inlineStr">
        <is>
          <t>03b-customize-functions-sql</t>
        </is>
      </c>
      <c r="B3" s="2" t="inlineStr">
        <is>
          <t>03b-customize-functions.sql</t>
        </is>
      </c>
      <c r="C3" s="2" t="inlineStr">
        <is>
          <t>Customize Functions</t>
        </is>
      </c>
      <c r="D3" s="2" t="inlineStr">
        <is>
      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IMPORTANT:
--   - This file runs AFTER 02-create-functions.sql
--   - Base ERB calc functions already exist when this runs
--   - This file will NOT be overwritten by ERB regeneration
--
-- ============================================================================
-- Your custom functions go here:
CREATE OR REPLACE FUNCTION public.calc_shapes_hypotenuse_length_squared(p_shape_id text)
 RETURNS numeric
 LANGUAGE plpgsql
 STABLE SECURITY DEFINER
AS $function$
BEGIN
  RETURN ((SELECT COALESCE(MAX(calc_sides_hypotenuse_length_squared(side_id)), 0) FROM sides WHERE shape = p_shape_id));
END;
$function$;
CREATE OR REPLACE FUNCTION public.calc_sides_length_squared(p_side_id text)
 RETURNS integer
 LANGUAGE plpgsql
 STABLE SECURITY DEFINER
AS $function$
BEGIN
  RETURN ((SELECT length FROM sides WHERE side_id = p_side_id) * (SELECT length FROM sides WHERE side_id = p_side_id));
END;
$function$;
CREATE OR REPLACE FUNCTION public.calc_shapes_hypotenuse_length_squared(p_shape_id text)
 RETURNS numeric
 LANGUAGE plpgsql
 STABLE SECURITY DEFINER
AS $function$
BEGIN
  RETURN ((SELECT COALESCE(MAX(calc_sides_hypotenuse_length_squared(side_id)), 0) FROM sides WHERE shape = p_shape_id));
END;
$function$;
</t>
        </is>
      </c>
      <c r="E3" s="2" t="inlineStr">
        <is>
          <t>Postgres</t>
        </is>
      </c>
      <c r="F3" s="2" t="inlineStr">
        <is>
          <t>Functions</t>
        </is>
      </c>
    </row>
    <row r="4">
      <c r="A4" s="2" t="inlineStr">
        <is>
          <t>03c-customize-views-sql</t>
        </is>
      </c>
      <c r="B4" s="2" t="inlineStr">
        <is>
          <t>03c-customize-views.sql</t>
        </is>
      </c>
      <c r="C4" s="2" t="inlineStr">
        <is>
          <t>Customize Views</t>
        </is>
      </c>
      <c r="D4" s="2" t="inlineStr">
        <is>
      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      </is>
      </c>
      <c r="E4" s="2" t="inlineStr">
        <is>
          <t>Postgres</t>
        </is>
      </c>
      <c r="F4" s="2" t="inlineStr">
        <is>
          <t>Views</t>
        </is>
      </c>
    </row>
    <row r="5">
      <c r="A5" s="2" t="inlineStr">
        <is>
          <t>03d-customize-rls-sql</t>
        </is>
      </c>
      <c r="B5" s="2" t="inlineStr">
        <is>
          <t>03d-customize-rls.sql</t>
        </is>
      </c>
      <c r="C5" s="2" t="inlineStr">
        <is>
          <t>Customize Policies (RLS)</t>
        </is>
      </c>
      <c r="D5" s="2" t="inlineStr">
        <is>
      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      </is>
      </c>
      <c r="E5" s="2" t="inlineStr">
        <is>
          <t>Postgres</t>
        </is>
      </c>
      <c r="F5" s="2" t="inlineStr">
        <is>
          <t>RLS</t>
        </is>
      </c>
    </row>
    <row r="6">
      <c r="A6" s="2" t="inlineStr">
        <is>
          <t>03e-customize-data-sql</t>
        </is>
      </c>
      <c r="B6" s="2" t="inlineStr">
        <is>
          <t>03e-customize-data.sql</t>
        </is>
      </c>
      <c r="C6" s="2" t="inlineStr">
        <is>
          <t>Customize Data (Seeds / Migrations)</t>
        </is>
      </c>
      <c r="D6" s="2" t="inlineStr">
        <is>
      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      </is>
      </c>
      <c r="E6" s="2" t="inlineStr">
        <is>
          <t>Postgres</t>
        </is>
      </c>
      <c r="F6" s="2" t="inlineStr">
        <is>
          <t>Data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4" customWidth="1" min="5" max="5"/>
    <col width="15" customWidth="1" min="6" max="6"/>
    <col width="12" customWidth="1" min="7" max="7"/>
    <col width="12" customWidth="1" min="8" max="8"/>
    <col width="15" customWidth="1" min="9" max="9"/>
    <col width="13" customWidth="1" min="10" max="10"/>
    <col width="19" customWidth="1" min="11" max="11"/>
    <col width="22" customWidth="1" min="12" max="12"/>
    <col width="20" customWidth="1" min="13" max="13"/>
  </cols>
  <sheetData>
    <row r="1">
      <c r="A1" s="1" t="inlineStr">
        <is>
          <t>MagicLinkIntegrationId</t>
        </is>
      </c>
      <c r="B1" s="1" t="inlineStr">
        <is>
          <t>Name</t>
        </is>
      </c>
      <c r="C1" s="1" t="inlineStr">
        <is>
          <t>Enabled</t>
        </is>
      </c>
      <c r="D1" s="1" t="inlineStr">
        <is>
          <t>TenantId</t>
        </is>
      </c>
      <c r="E1" s="1" t="inlineStr">
        <is>
          <t>PublicKeyPem</t>
        </is>
      </c>
      <c r="F1" s="1" t="inlineStr">
        <is>
          <t>UserTableName</t>
        </is>
      </c>
      <c r="G1" s="1" t="inlineStr">
        <is>
          <t>EmailField</t>
        </is>
      </c>
      <c r="H1" s="1" t="inlineStr">
        <is>
          <t>RoleField</t>
        </is>
      </c>
      <c r="I1" s="1" t="inlineStr">
        <is>
          <t>IsActiveField</t>
        </is>
      </c>
      <c r="J1" s="1" t="inlineStr">
        <is>
          <t>UserIdField</t>
        </is>
      </c>
      <c r="K1" s="1" t="inlineStr">
        <is>
          <t>AllowedAlgorithms</t>
        </is>
      </c>
      <c r="L1" s="1" t="inlineStr">
        <is>
          <t>RequireTenantBinding</t>
        </is>
      </c>
      <c r="M1" s="1" t="inlineStr">
        <is>
          <t>UseEmailDagPattern</t>
        </is>
      </c>
    </row>
    <row r="2">
      <c r="A2" s="2" t="inlineStr">
        <is>
          <t>magic-link-config</t>
        </is>
      </c>
      <c r="B2" s="2" t="inlineStr">
        <is>
          <t>Magic Link Config</t>
        </is>
      </c>
      <c r="C2" s="2" t="b">
        <v>1</v>
      </c>
      <c r="D2" s="2" t="inlineStr">
        <is>
          <t>c03e9d56-9525-47dd-9ee1-2f2a20383048</t>
        </is>
      </c>
      <c r="E2" s="2" t="inlineStr">
        <is>
          <t>-----BEGIN PUBLIC KEY-----
MIIBIjANBgkqhkiG9w0BAQEFAAOCAQ8AMIIBCgKCAQEA2XyDcVliu0wjQjDY1Rez
/krdzYL3v4TXCJbYu2V1EkrKlVjO+ZGCIHu0yMAw5A+cUMm5cXtYyIXNln6tCg0M
LHcNVrSDm5QuQSUuGP/SVrgSUItyrGfLZOwl+kYXgMmle4t11ecVhkaVARisBcRz
Irh9ofSNtLR6UlJzKH4uFFswId5HrgwMCbart2YcrA7lrEt1hqASZ7pPPX6/i771
97VqSf+clLX3Wq5VwyrtC9taTiVZrN/OhtWbSAkUX+NMkCc57MN4CcjP3/8JXbjv
4L5ExZOpc14zRhOnOnC0cHRX475WoJbjI3+EfYDjaNrV6MVd444S/8HOOz3D8Pki
XwIDAQAB
-----END PUBLIC KEY-----</t>
        </is>
      </c>
      <c r="F2" s="2" t="inlineStr">
        <is>
          <t>app_users</t>
        </is>
      </c>
      <c r="G2" s="2" t="inlineStr">
        <is>
          <t>email_address</t>
        </is>
      </c>
      <c r="H2" s="2" t="inlineStr">
        <is>
          <t>role</t>
        </is>
      </c>
      <c r="I2" s="2" t="inlineStr">
        <is>
          <t>is_active</t>
        </is>
      </c>
      <c r="J2" s="2" t="inlineStr"/>
      <c r="K2" s="2" t="inlineStr">
        <is>
          <t>RS256</t>
        </is>
      </c>
      <c r="L2" s="2" t="b">
        <v>1</v>
      </c>
      <c r="M2" s="2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2026-03-19T05:02:06Z</dcterms:created>
  <dcterms:modified xsi:type="dcterms:W3CDTF">2026-03-19T05:02:06Z</dcterms:modified>
</cp:coreProperties>
</file>